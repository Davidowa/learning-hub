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830" codeName="{F3310B89-0DAA-6C43-5919-0D5897632BE8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davidowa/Documents/GitHub/HTML/learning-hub/ppts/audit/evidencia-vba-runtime-2026-10-13/"/>
    </mc:Choice>
  </mc:AlternateContent>
  <xr:revisionPtr revIDLastSave="0" documentId="8_{3E37F9D4-05FA-BC47-8C25-5C4D20EE8348}" xr6:coauthVersionLast="47" xr6:coauthVersionMax="47" xr10:uidLastSave="{00000000-0000-0000-0000-000000000000}"/>
  <bookViews>
    <workbookView xWindow="680" yWindow="660" windowWidth="28040" windowHeight="17140" activeTab="4" xr2:uid="{C75DA26B-5DEF-8543-A6B4-29BC67AC55AC}"/>
  </bookViews>
  <sheets>
    <sheet name="Datos" sheetId="4" r:id="rId1"/>
    <sheet name="Resumen17" sheetId="6" r:id="rId2"/>
    <sheet name="Datos17" sheetId="5" r:id="rId3"/>
    <sheet name="Hoja1" sheetId="3" r:id="rId4"/>
    <sheet name="VBAResults" sheetId="2" r:id="rId5"/>
    <sheet name="Sheet1" sheetId="1" r:id="rId6"/>
  </sheets>
  <definedNames>
    <definedName name="_xlnm._FilterDatabase" localSheetId="0" hidden="1">Datos!$A$1:$B$12</definedName>
    <definedName name="_xlnm.Criteria" localSheetId="0">Datos!$D$1:$D$2</definedName>
    <definedName name="MontoPrestamo">Hoja1!#REF!</definedName>
    <definedName name="TasaAnual">Hoja1!$B$1</definedName>
  </definedNames>
  <calcPr calcId="191029"/>
  <pivotCaches>
    <pivotCache cacheId="0" r:id="rId7"/>
  </pivotCaches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H7" i="2" l="1"/>
  <c r="H6" i="2"/>
  <c r="E68" i="2"/>
  <c r="D68" i="2"/>
</calcChain>
</file>

<file path=xl/sharedStrings.xml><?xml version="1.0" encoding="utf-8"?>
<sst xmlns="http://schemas.openxmlformats.org/spreadsheetml/2006/main" count="330" uniqueCount="112">
  <si>
    <t>VBA runtime smoke test</t>
  </si>
  <si>
    <t>Test</t>
  </si>
  <si>
    <t>Week</t>
  </si>
  <si>
    <t>Status</t>
  </si>
  <si>
    <t>Actual</t>
  </si>
  <si>
    <t>Expected</t>
  </si>
  <si>
    <t>Excel VBA native runtime</t>
  </si>
  <si>
    <t>Macintosh (ARM) Version 27.0.1 (Build 26A434)</t>
  </si>
  <si>
    <t>range_assignment_1</t>
  </si>
  <si>
    <t>PASS</t>
  </si>
  <si>
    <t>range_assignment_2</t>
  </si>
  <si>
    <t>integer_overflow_rows</t>
  </si>
  <si>
    <t>range_offset</t>
  </si>
  <si>
    <t>integer_bankers_rounding</t>
  </si>
  <si>
    <t>date_isnumeric</t>
  </si>
  <si>
    <t>precedence</t>
  </si>
  <si>
    <t>parentheses</t>
  </si>
  <si>
    <t>monthly_rate</t>
  </si>
  <si>
    <t>monthly_format</t>
  </si>
  <si>
    <t>FAIL</t>
  </si>
  <si>
    <t>monthly_round</t>
  </si>
  <si>
    <t>named_range_amount</t>
  </si>
  <si>
    <t>named_range_rate</t>
  </si>
  <si>
    <t>negative_power</t>
  </si>
  <si>
    <t>integer_division</t>
  </si>
  <si>
    <t>and_is_not_short_circuit</t>
  </si>
  <si>
    <t>numeric_positive</t>
  </si>
  <si>
    <t>blank_not_numeric</t>
  </si>
  <si>
    <t>percent_input_005</t>
  </si>
  <si>
    <t>fixed_range_stops_at_13</t>
  </si>
  <si>
    <t>General</t>
  </si>
  <si>
    <t>dynamic_range_reaches_41</t>
  </si>
  <si>
    <t>$#,##0.00</t>
  </si>
  <si>
    <t>toggle_on</t>
  </si>
  <si>
    <t>toggle_off</t>
  </si>
  <si>
    <t>comparison_message</t>
  </si>
  <si>
    <t>a es igual a b? True</t>
  </si>
  <si>
    <t>elseif_classification</t>
  </si>
  <si>
    <t>C</t>
  </si>
  <si>
    <t>Sin venta</t>
  </si>
  <si>
    <t>empty_cell_compares_to_zero</t>
  </si>
  <si>
    <t>loop_message</t>
  </si>
  <si>
    <t xml:space="preserve">Los numeros del 1 al 5 son: 1 2 3 4 5 </t>
  </si>
  <si>
    <t>period_first</t>
  </si>
  <si>
    <t>period_last</t>
  </si>
  <si>
    <t>empty_cell_fill</t>
  </si>
  <si>
    <t>Vencido</t>
  </si>
  <si>
    <t>past_due_above_30</t>
  </si>
  <si>
    <t>past_due_at_30</t>
  </si>
  <si>
    <t>forward_delete_skips_rows</t>
  </si>
  <si>
    <t>summation_function</t>
  </si>
  <si>
    <t>rate_function</t>
  </si>
  <si>
    <t>byref_iva</t>
  </si>
  <si>
    <t>byref_double</t>
  </si>
  <si>
    <t>udf_in_worksheet</t>
  </si>
  <si>
    <t>class_annual</t>
  </si>
  <si>
    <t>class_negative_salary</t>
  </si>
  <si>
    <t>class_not_instantiated</t>
  </si>
  <si>
    <t>class_alias</t>
  </si>
  <si>
    <t>vba_trim_preserves_middle</t>
  </si>
  <si>
    <t>Ana    Lopez</t>
  </si>
  <si>
    <t>excel_trim_collapses_middle</t>
  </si>
  <si>
    <t>Ana Lopez</t>
  </si>
  <si>
    <t>trim_keeps_chr160</t>
  </si>
  <si>
    <t>replace_chr160</t>
  </si>
  <si>
    <t>Ana</t>
  </si>
  <si>
    <t>chr160_is_nbsp_on_mac</t>
  </si>
  <si>
    <t>Depto</t>
  </si>
  <si>
    <t>Ventas</t>
  </si>
  <si>
    <t>primero</t>
  </si>
  <si>
    <t>Compras</t>
  </si>
  <si>
    <t>duplicates_first_wins</t>
  </si>
  <si>
    <t>duplicates_count</t>
  </si>
  <si>
    <t>relative_duplicate_column</t>
  </si>
  <si>
    <t>Beto</t>
  </si>
  <si>
    <t>Carla</t>
  </si>
  <si>
    <t>sort_department</t>
  </si>
  <si>
    <t>sort_secondary_desc</t>
  </si>
  <si>
    <t>Monto</t>
  </si>
  <si>
    <t>advanced_matching_header</t>
  </si>
  <si>
    <t>advanced_wrong_header</t>
  </si>
  <si>
    <t>Grand Total</t>
  </si>
  <si>
    <t>subtotal_unsorted_rows</t>
  </si>
  <si>
    <t>subtotal_sorted_rows</t>
  </si>
  <si>
    <t>table_initial_sum</t>
  </si>
  <si>
    <t>table_expanded_sum</t>
  </si>
  <si>
    <t>empty_table_rows</t>
  </si>
  <si>
    <t>empty_table_body</t>
  </si>
  <si>
    <t>empty_table_body_error</t>
  </si>
  <si>
    <t>worksheet_lookup_missing</t>
  </si>
  <si>
    <t>application_lookup_missing_iserror</t>
  </si>
  <si>
    <t>application_lookup_found</t>
  </si>
  <si>
    <t>formula_recalculates</t>
  </si>
  <si>
    <t>value_is_snapshot</t>
  </si>
  <si>
    <t>r1c1_formula</t>
  </si>
  <si>
    <t>r1c1_value</t>
  </si>
  <si>
    <t>chart_count</t>
  </si>
  <si>
    <t>chart_series_count</t>
  </si>
  <si>
    <t>chart_title</t>
  </si>
  <si>
    <t>Monto por depto</t>
  </si>
  <si>
    <t>division_error</t>
  </si>
  <si>
    <t>conversion_error</t>
  </si>
  <si>
    <t>err_clear</t>
  </si>
  <si>
    <t>err_persists_after_valid_addition</t>
  </si>
  <si>
    <t>protected_write</t>
  </si>
  <si>
    <t>la macro escribio</t>
  </si>
  <si>
    <t>user_interface_only_allows_macro</t>
  </si>
  <si>
    <t>user_interface_only_still_protected</t>
  </si>
  <si>
    <t>Row Labels</t>
  </si>
  <si>
    <t>Sum of Monto</t>
  </si>
  <si>
    <t>final_fixed_pivot</t>
  </si>
  <si>
    <t>final_fixed_chart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</si>
</sst>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2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22" fontId="0" fillId="0" borderId="0" xfId="0" applyNumberFormat="1"/>
    <xf numFmtId="10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Monto por depto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Datos!$B$1</c:f>
              <c:strCache>
                <c:ptCount val="1"/>
                <c:pt idx="0">
                  <c:v>Monto</c:v>
                </c:pt>
              </c:strCache>
            </c:strRef>
          </c:tx>
          <c:invertIfNegative val="0"/>
          <c:cat>
            <c:strRef>
              <c:f>Datos!$A$2:$A$3</c:f>
              <c:strCache>
                <c:ptCount val="2"/>
                <c:pt idx="0">
                  <c:v>Ventas</c:v>
                </c:pt>
                <c:pt idx="1">
                  <c:v>Compras</c:v>
                </c:pt>
              </c:strCache>
            </c:strRef>
          </c:cat>
          <c:val>
            <c:numRef>
              <c:f>Datos!$B$2:$B$3</c:f>
              <c:numCache>
                <c:formatCode>General</c:formatCode>
                <c:ptCount val="2"/>
                <c:pt idx="0">
                  <c:v>100</c:v>
                </c:pt>
                <c:pt idx="1">
                  <c:v>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CFC-504D-ADB9-88D80B7660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39903359"/>
        <c:axId val="639896639"/>
      </c:barChart>
      <c:catAx>
        <c:axId val="639903359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639896639"/>
        <c:crosses val="autoZero"/>
        <c:auto val="1"/>
        <c:lblAlgn val="ctr"/>
        <c:lblOffset val="100"/>
        <c:noMultiLvlLbl val="0"/>
      </c:catAx>
      <c:valAx>
        <c:axId val="639896639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639903359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Datos17!$B$1</c:f>
              <c:strCache>
                <c:ptCount val="1"/>
                <c:pt idx="0">
                  <c:v>Monto</c:v>
                </c:pt>
              </c:strCache>
            </c:strRef>
          </c:tx>
          <c:invertIfNegative val="0"/>
          <c:cat>
            <c:strRef>
              <c:f>Datos17!$A$2:$A$100</c:f>
              <c:strCache>
                <c:ptCount val="99"/>
                <c:pt idx="0">
                  <c:v>Ventas</c:v>
                </c:pt>
                <c:pt idx="1">
                  <c:v>Ventas</c:v>
                </c:pt>
                <c:pt idx="2">
                  <c:v>Ventas</c:v>
                </c:pt>
                <c:pt idx="3">
                  <c:v>Ventas</c:v>
                </c:pt>
                <c:pt idx="4">
                  <c:v>Ventas</c:v>
                </c:pt>
                <c:pt idx="5">
                  <c:v>Ventas</c:v>
                </c:pt>
                <c:pt idx="6">
                  <c:v>Ventas</c:v>
                </c:pt>
                <c:pt idx="7">
                  <c:v>Ventas</c:v>
                </c:pt>
                <c:pt idx="8">
                  <c:v>Ventas</c:v>
                </c:pt>
                <c:pt idx="9">
                  <c:v>Ventas</c:v>
                </c:pt>
                <c:pt idx="10">
                  <c:v>Ventas</c:v>
                </c:pt>
                <c:pt idx="11">
                  <c:v>Ventas</c:v>
                </c:pt>
                <c:pt idx="12">
                  <c:v>Ventas</c:v>
                </c:pt>
                <c:pt idx="13">
                  <c:v>Ventas</c:v>
                </c:pt>
                <c:pt idx="14">
                  <c:v>Ventas</c:v>
                </c:pt>
                <c:pt idx="15">
                  <c:v>Ventas</c:v>
                </c:pt>
                <c:pt idx="16">
                  <c:v>Ventas</c:v>
                </c:pt>
                <c:pt idx="17">
                  <c:v>Ventas</c:v>
                </c:pt>
                <c:pt idx="18">
                  <c:v>Ventas</c:v>
                </c:pt>
                <c:pt idx="19">
                  <c:v>Ventas</c:v>
                </c:pt>
                <c:pt idx="20">
                  <c:v>Ventas</c:v>
                </c:pt>
                <c:pt idx="21">
                  <c:v>Ventas</c:v>
                </c:pt>
                <c:pt idx="22">
                  <c:v>Ventas</c:v>
                </c:pt>
                <c:pt idx="23">
                  <c:v>Ventas</c:v>
                </c:pt>
                <c:pt idx="24">
                  <c:v>Ventas</c:v>
                </c:pt>
                <c:pt idx="25">
                  <c:v>Ventas</c:v>
                </c:pt>
                <c:pt idx="26">
                  <c:v>Ventas</c:v>
                </c:pt>
                <c:pt idx="27">
                  <c:v>Ventas</c:v>
                </c:pt>
                <c:pt idx="28">
                  <c:v>Ventas</c:v>
                </c:pt>
                <c:pt idx="29">
                  <c:v>Ventas</c:v>
                </c:pt>
                <c:pt idx="30">
                  <c:v>Ventas</c:v>
                </c:pt>
                <c:pt idx="31">
                  <c:v>Ventas</c:v>
                </c:pt>
                <c:pt idx="32">
                  <c:v>Ventas</c:v>
                </c:pt>
                <c:pt idx="33">
                  <c:v>Ventas</c:v>
                </c:pt>
                <c:pt idx="34">
                  <c:v>Ventas</c:v>
                </c:pt>
                <c:pt idx="35">
                  <c:v>Ventas</c:v>
                </c:pt>
                <c:pt idx="36">
                  <c:v>Ventas</c:v>
                </c:pt>
                <c:pt idx="37">
                  <c:v>Ventas</c:v>
                </c:pt>
                <c:pt idx="38">
                  <c:v>Ventas</c:v>
                </c:pt>
                <c:pt idx="39">
                  <c:v>Ventas</c:v>
                </c:pt>
                <c:pt idx="40">
                  <c:v>Ventas</c:v>
                </c:pt>
                <c:pt idx="41">
                  <c:v>Ventas</c:v>
                </c:pt>
                <c:pt idx="42">
                  <c:v>Ventas</c:v>
                </c:pt>
                <c:pt idx="43">
                  <c:v>Ventas</c:v>
                </c:pt>
                <c:pt idx="44">
                  <c:v>Ventas</c:v>
                </c:pt>
                <c:pt idx="45">
                  <c:v>Ventas</c:v>
                </c:pt>
                <c:pt idx="46">
                  <c:v>Ventas</c:v>
                </c:pt>
                <c:pt idx="47">
                  <c:v>Ventas</c:v>
                </c:pt>
                <c:pt idx="48">
                  <c:v>Ventas</c:v>
                </c:pt>
                <c:pt idx="49">
                  <c:v>Ventas</c:v>
                </c:pt>
                <c:pt idx="50">
                  <c:v>Ventas</c:v>
                </c:pt>
                <c:pt idx="51">
                  <c:v>Ventas</c:v>
                </c:pt>
                <c:pt idx="52">
                  <c:v>Ventas</c:v>
                </c:pt>
                <c:pt idx="53">
                  <c:v>Ventas</c:v>
                </c:pt>
                <c:pt idx="54">
                  <c:v>Ventas</c:v>
                </c:pt>
                <c:pt idx="55">
                  <c:v>Ventas</c:v>
                </c:pt>
                <c:pt idx="56">
                  <c:v>Ventas</c:v>
                </c:pt>
                <c:pt idx="57">
                  <c:v>Ventas</c:v>
                </c:pt>
                <c:pt idx="58">
                  <c:v>Ventas</c:v>
                </c:pt>
                <c:pt idx="59">
                  <c:v>Ventas</c:v>
                </c:pt>
                <c:pt idx="60">
                  <c:v>Ventas</c:v>
                </c:pt>
                <c:pt idx="61">
                  <c:v>Ventas</c:v>
                </c:pt>
                <c:pt idx="62">
                  <c:v>Ventas</c:v>
                </c:pt>
                <c:pt idx="63">
                  <c:v>Ventas</c:v>
                </c:pt>
                <c:pt idx="64">
                  <c:v>Ventas</c:v>
                </c:pt>
                <c:pt idx="65">
                  <c:v>Ventas</c:v>
                </c:pt>
                <c:pt idx="66">
                  <c:v>Ventas</c:v>
                </c:pt>
                <c:pt idx="67">
                  <c:v>Ventas</c:v>
                </c:pt>
                <c:pt idx="68">
                  <c:v>Ventas</c:v>
                </c:pt>
                <c:pt idx="69">
                  <c:v>Ventas</c:v>
                </c:pt>
                <c:pt idx="70">
                  <c:v>Ventas</c:v>
                </c:pt>
                <c:pt idx="71">
                  <c:v>Ventas</c:v>
                </c:pt>
                <c:pt idx="72">
                  <c:v>Ventas</c:v>
                </c:pt>
                <c:pt idx="73">
                  <c:v>Ventas</c:v>
                </c:pt>
                <c:pt idx="74">
                  <c:v>Ventas</c:v>
                </c:pt>
                <c:pt idx="75">
                  <c:v>Ventas</c:v>
                </c:pt>
                <c:pt idx="76">
                  <c:v>Ventas</c:v>
                </c:pt>
                <c:pt idx="77">
                  <c:v>Ventas</c:v>
                </c:pt>
                <c:pt idx="78">
                  <c:v>Ventas</c:v>
                </c:pt>
                <c:pt idx="79">
                  <c:v>Ventas</c:v>
                </c:pt>
                <c:pt idx="80">
                  <c:v>Ventas</c:v>
                </c:pt>
                <c:pt idx="81">
                  <c:v>Ventas</c:v>
                </c:pt>
                <c:pt idx="82">
                  <c:v>Ventas</c:v>
                </c:pt>
                <c:pt idx="83">
                  <c:v>Ventas</c:v>
                </c:pt>
                <c:pt idx="84">
                  <c:v>Ventas</c:v>
                </c:pt>
                <c:pt idx="85">
                  <c:v>Ventas</c:v>
                </c:pt>
                <c:pt idx="86">
                  <c:v>Ventas</c:v>
                </c:pt>
                <c:pt idx="87">
                  <c:v>Ventas</c:v>
                </c:pt>
                <c:pt idx="88">
                  <c:v>Ventas</c:v>
                </c:pt>
                <c:pt idx="89">
                  <c:v>Ventas</c:v>
                </c:pt>
                <c:pt idx="90">
                  <c:v>Ventas</c:v>
                </c:pt>
                <c:pt idx="91">
                  <c:v>Ventas</c:v>
                </c:pt>
                <c:pt idx="92">
                  <c:v>Ventas</c:v>
                </c:pt>
                <c:pt idx="93">
                  <c:v>Ventas</c:v>
                </c:pt>
                <c:pt idx="94">
                  <c:v>Ventas</c:v>
                </c:pt>
                <c:pt idx="95">
                  <c:v>Ventas</c:v>
                </c:pt>
                <c:pt idx="96">
                  <c:v>Ventas</c:v>
                </c:pt>
                <c:pt idx="97">
                  <c:v>Ventas</c:v>
                </c:pt>
                <c:pt idx="98">
                  <c:v>Ventas</c:v>
                </c:pt>
              </c:strCache>
            </c:strRef>
          </c:cat>
          <c:val>
            <c:numRef>
              <c:f>Datos17!$B$2:$B$100</c:f>
              <c:numCache>
                <c:formatCode>General</c:formatCode>
                <c:ptCount val="99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  <c:pt idx="71">
                  <c:v>1</c:v>
                </c:pt>
                <c:pt idx="72">
                  <c:v>1</c:v>
                </c:pt>
                <c:pt idx="73">
                  <c:v>1</c:v>
                </c:pt>
                <c:pt idx="74">
                  <c:v>1</c:v>
                </c:pt>
                <c:pt idx="75">
                  <c:v>1</c:v>
                </c:pt>
                <c:pt idx="76">
                  <c:v>1</c:v>
                </c:pt>
                <c:pt idx="77">
                  <c:v>1</c:v>
                </c:pt>
                <c:pt idx="78">
                  <c:v>1</c:v>
                </c:pt>
                <c:pt idx="79">
                  <c:v>1</c:v>
                </c:pt>
                <c:pt idx="80">
                  <c:v>1</c:v>
                </c:pt>
                <c:pt idx="81">
                  <c:v>1</c:v>
                </c:pt>
                <c:pt idx="82">
                  <c:v>1</c:v>
                </c:pt>
                <c:pt idx="83">
                  <c:v>1</c:v>
                </c:pt>
                <c:pt idx="84">
                  <c:v>1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1</c:v>
                </c:pt>
                <c:pt idx="91">
                  <c:v>1</c:v>
                </c:pt>
                <c:pt idx="92">
                  <c:v>1</c:v>
                </c:pt>
                <c:pt idx="93">
                  <c:v>1</c:v>
                </c:pt>
                <c:pt idx="94">
                  <c:v>1</c:v>
                </c:pt>
                <c:pt idx="95">
                  <c:v>1</c:v>
                </c:pt>
                <c:pt idx="96">
                  <c:v>1</c:v>
                </c:pt>
                <c:pt idx="97">
                  <c:v>1</c:v>
                </c:pt>
                <c:pt idx="98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7B3-DF42-909D-25EB3B90B3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23943103"/>
        <c:axId val="611008511"/>
      </c:barChart>
      <c:catAx>
        <c:axId val="623943103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611008511"/>
        <c:crosses val="autoZero"/>
        <c:auto val="1"/>
        <c:lblAlgn val="ctr"/>
        <c:lblOffset val="100"/>
        <c:noMultiLvlLbl val="0"/>
      </c:catAx>
      <c:valAx>
        <c:axId val="611008511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623943103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63500</xdr:colOff>
      <xdr:row>1</xdr:row>
      <xdr:rowOff>50800</xdr:rowOff>
    </xdr:from>
    <xdr:to>
      <xdr:col>7</xdr:col>
      <xdr:colOff>571500</xdr:colOff>
      <xdr:row>13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A0E568A-9BC9-0E40-9E36-F7ACE14B5D0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63500</xdr:colOff>
      <xdr:row>1</xdr:row>
      <xdr:rowOff>50800</xdr:rowOff>
    </xdr:from>
    <xdr:to>
      <xdr:col>7</xdr:col>
      <xdr:colOff>571500</xdr:colOff>
      <xdr:row>13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B15936C-739E-9D8E-708D-B25E71C4599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avid Escobar Castillejos" refreshedDate="46308.530303240739" createdVersion="8" refreshedVersion="8" minRefreshableVersion="3" recordCount="99" xr:uid="{F7257EAE-010F-CD46-BC2C-738F0B511CC4}">
  <cacheSource type="worksheet">
    <worksheetSource ref="A1:B100" sheet="Datos17"/>
  </cacheSource>
  <cacheFields count="2">
    <cacheField name="Depto" numFmtId="0">
      <sharedItems count="1">
        <s v="Ventas"/>
      </sharedItems>
    </cacheField>
    <cacheField name="Monto" numFmtId="0">
      <sharedItems containsSemiMixedTypes="0" containsString="0" containsNumber="1" containsInteger="1" minValue="1" maxValue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9">
  <r>
    <x v="0"/>
    <n v="1"/>
  </r>
  <r>
    <x v="0"/>
    <n v="1"/>
  </r>
  <r>
    <x v="0"/>
    <n v="1"/>
  </r>
  <r>
    <x v="0"/>
    <n v="1"/>
  </r>
  <r>
    <x v="0"/>
    <n v="1"/>
  </r>
  <r>
    <x v="0"/>
    <n v="1"/>
  </r>
  <r>
    <x v="0"/>
    <n v="1"/>
  </r>
  <r>
    <x v="0"/>
    <n v="1"/>
  </r>
  <r>
    <x v="0"/>
    <n v="1"/>
  </r>
  <r>
    <x v="0"/>
    <n v="1"/>
  </r>
  <r>
    <x v="0"/>
    <n v="1"/>
  </r>
  <r>
    <x v="0"/>
    <n v="1"/>
  </r>
  <r>
    <x v="0"/>
    <n v="1"/>
  </r>
  <r>
    <x v="0"/>
    <n v="1"/>
  </r>
  <r>
    <x v="0"/>
    <n v="1"/>
  </r>
  <r>
    <x v="0"/>
    <n v="1"/>
  </r>
  <r>
    <x v="0"/>
    <n v="1"/>
  </r>
  <r>
    <x v="0"/>
    <n v="1"/>
  </r>
  <r>
    <x v="0"/>
    <n v="1"/>
  </r>
  <r>
    <x v="0"/>
    <n v="1"/>
  </r>
  <r>
    <x v="0"/>
    <n v="1"/>
  </r>
  <r>
    <x v="0"/>
    <n v="1"/>
  </r>
  <r>
    <x v="0"/>
    <n v="1"/>
  </r>
  <r>
    <x v="0"/>
    <n v="1"/>
  </r>
  <r>
    <x v="0"/>
    <n v="1"/>
  </r>
  <r>
    <x v="0"/>
    <n v="1"/>
  </r>
  <r>
    <x v="0"/>
    <n v="1"/>
  </r>
  <r>
    <x v="0"/>
    <n v="1"/>
  </r>
  <r>
    <x v="0"/>
    <n v="1"/>
  </r>
  <r>
    <x v="0"/>
    <n v="1"/>
  </r>
  <r>
    <x v="0"/>
    <n v="1"/>
  </r>
  <r>
    <x v="0"/>
    <n v="1"/>
  </r>
  <r>
    <x v="0"/>
    <n v="1"/>
  </r>
  <r>
    <x v="0"/>
    <n v="1"/>
  </r>
  <r>
    <x v="0"/>
    <n v="1"/>
  </r>
  <r>
    <x v="0"/>
    <n v="1"/>
  </r>
  <r>
    <x v="0"/>
    <n v="1"/>
  </r>
  <r>
    <x v="0"/>
    <n v="1"/>
  </r>
  <r>
    <x v="0"/>
    <n v="1"/>
  </r>
  <r>
    <x v="0"/>
    <n v="1"/>
  </r>
  <r>
    <x v="0"/>
    <n v="1"/>
  </r>
  <r>
    <x v="0"/>
    <n v="1"/>
  </r>
  <r>
    <x v="0"/>
    <n v="1"/>
  </r>
  <r>
    <x v="0"/>
    <n v="1"/>
  </r>
  <r>
    <x v="0"/>
    <n v="1"/>
  </r>
  <r>
    <x v="0"/>
    <n v="1"/>
  </r>
  <r>
    <x v="0"/>
    <n v="1"/>
  </r>
  <r>
    <x v="0"/>
    <n v="1"/>
  </r>
  <r>
    <x v="0"/>
    <n v="1"/>
  </r>
  <r>
    <x v="0"/>
    <n v="1"/>
  </r>
  <r>
    <x v="0"/>
    <n v="1"/>
  </r>
  <r>
    <x v="0"/>
    <n v="1"/>
  </r>
  <r>
    <x v="0"/>
    <n v="1"/>
  </r>
  <r>
    <x v="0"/>
    <n v="1"/>
  </r>
  <r>
    <x v="0"/>
    <n v="1"/>
  </r>
  <r>
    <x v="0"/>
    <n v="1"/>
  </r>
  <r>
    <x v="0"/>
    <n v="1"/>
  </r>
  <r>
    <x v="0"/>
    <n v="1"/>
  </r>
  <r>
    <x v="0"/>
    <n v="1"/>
  </r>
  <r>
    <x v="0"/>
    <n v="1"/>
  </r>
  <r>
    <x v="0"/>
    <n v="1"/>
  </r>
  <r>
    <x v="0"/>
    <n v="1"/>
  </r>
  <r>
    <x v="0"/>
    <n v="1"/>
  </r>
  <r>
    <x v="0"/>
    <n v="1"/>
  </r>
  <r>
    <x v="0"/>
    <n v="1"/>
  </r>
  <r>
    <x v="0"/>
    <n v="1"/>
  </r>
  <r>
    <x v="0"/>
    <n v="1"/>
  </r>
  <r>
    <x v="0"/>
    <n v="1"/>
  </r>
  <r>
    <x v="0"/>
    <n v="1"/>
  </r>
  <r>
    <x v="0"/>
    <n v="1"/>
  </r>
  <r>
    <x v="0"/>
    <n v="1"/>
  </r>
  <r>
    <x v="0"/>
    <n v="1"/>
  </r>
  <r>
    <x v="0"/>
    <n v="1"/>
  </r>
  <r>
    <x v="0"/>
    <n v="1"/>
  </r>
  <r>
    <x v="0"/>
    <n v="1"/>
  </r>
  <r>
    <x v="0"/>
    <n v="1"/>
  </r>
  <r>
    <x v="0"/>
    <n v="1"/>
  </r>
  <r>
    <x v="0"/>
    <n v="1"/>
  </r>
  <r>
    <x v="0"/>
    <n v="1"/>
  </r>
  <r>
    <x v="0"/>
    <n v="1"/>
  </r>
  <r>
    <x v="0"/>
    <n v="1"/>
  </r>
  <r>
    <x v="0"/>
    <n v="1"/>
  </r>
  <r>
    <x v="0"/>
    <n v="1"/>
  </r>
  <r>
    <x v="0"/>
    <n v="1"/>
  </r>
  <r>
    <x v="0"/>
    <n v="1"/>
  </r>
  <r>
    <x v="0"/>
    <n v="1"/>
  </r>
  <r>
    <x v="0"/>
    <n v="1"/>
  </r>
  <r>
    <x v="0"/>
    <n v="1"/>
  </r>
  <r>
    <x v="0"/>
    <n v="1"/>
  </r>
  <r>
    <x v="0"/>
    <n v="1"/>
  </r>
  <r>
    <x v="0"/>
    <n v="1"/>
  </r>
  <r>
    <x v="0"/>
    <n v="1"/>
  </r>
  <r>
    <x v="0"/>
    <n v="1"/>
  </r>
  <r>
    <x v="0"/>
    <n v="1"/>
  </r>
  <r>
    <x v="0"/>
    <n v="1"/>
  </r>
  <r>
    <x v="0"/>
    <n v="1"/>
  </r>
  <r>
    <x v="0"/>
    <n v="1"/>
  </r>
  <r>
    <x v="0"/>
    <n v="1"/>
  </r>
  <r>
    <x v="0"/>
    <n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785DD76-9BD0-D946-AA87-DAA205863341}" name="Corte17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1:B3" firstHeaderRow="1" firstDataRow="1" firstDataCol="1"/>
  <pivotFields count="2">
    <pivotField axis="axisRow" showAll="0">
      <items count="2">
        <item x="0"/>
        <item t="default"/>
      </items>
    </pivotField>
    <pivotField dataField="1" showAll="0"/>
  </pivotFields>
  <rowFields count="1">
    <field x="0"/>
  </rowFields>
  <rowItems count="2">
    <i>
      <x/>
    </i>
    <i t="grand">
      <x/>
    </i>
  </rowItems>
  <colItems count="1">
    <i/>
  </colItems>
  <dataFields count="1">
    <dataField name="Sum of Monto" fld="1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9C20B8-435A-BE48-8CBB-86E109729B0A}">
  <sheetPr codeName="Sheet4"/>
  <dimension ref="A1:B12"/>
  <sheetViews>
    <sheetView workbookViewId="0"/>
  </sheetViews>
  <sheetFormatPr baseColWidth="10" defaultRowHeight="16" outlineLevelRow="2" x14ac:dyDescent="0.2"/>
  <sheetData>
    <row r="1" spans="1:2" x14ac:dyDescent="0.2">
      <c r="A1" t="s">
        <v>67</v>
      </c>
      <c r="B1" t="s">
        <v>78</v>
      </c>
    </row>
    <row r="2" spans="1:2" outlineLevel="2" x14ac:dyDescent="0.2">
      <c r="A2" t="s">
        <v>68</v>
      </c>
      <c r="B2">
        <v>100</v>
      </c>
    </row>
    <row r="3" spans="1:2" outlineLevel="2" x14ac:dyDescent="0.2">
      <c r="A3" t="s">
        <v>70</v>
      </c>
      <c r="B3">
        <v>200</v>
      </c>
    </row>
    <row r="4" spans="1:2" outlineLevel="1" x14ac:dyDescent="0.2"/>
    <row r="5" spans="1:2" outlineLevel="2" x14ac:dyDescent="0.2"/>
    <row r="6" spans="1:2" outlineLevel="2" x14ac:dyDescent="0.2"/>
    <row r="7" spans="1:2" outlineLevel="1" x14ac:dyDescent="0.2"/>
    <row r="9" spans="1:2" outlineLevel="2" x14ac:dyDescent="0.2"/>
    <row r="10" spans="1:2" outlineLevel="1" x14ac:dyDescent="0.2"/>
    <row r="11" spans="1:2" outlineLevel="2" x14ac:dyDescent="0.2"/>
    <row r="12" spans="1:2" outlineLevel="1" x14ac:dyDescent="0.2"/>
  </sheetData>
  <sortState xmlns:xlrd2="http://schemas.microsoft.com/office/spreadsheetml/2017/richdata2" ref="A2:B7">
    <sortCondition ref="A1"/>
  </sortState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721039-5CD3-554D-9D0A-6AE828D79966}">
  <sheetPr codeName="Sheet6"/>
  <dimension ref="A1:B3"/>
  <sheetViews>
    <sheetView workbookViewId="0"/>
  </sheetViews>
  <sheetFormatPr baseColWidth="10" defaultRowHeight="16" x14ac:dyDescent="0.2"/>
  <cols>
    <col min="1" max="1" width="13" bestFit="1" customWidth="1"/>
    <col min="2" max="2" width="12.33203125" bestFit="1" customWidth="1"/>
  </cols>
  <sheetData>
    <row r="1" spans="1:2" x14ac:dyDescent="0.2">
      <c r="A1" s="3" t="s">
        <v>108</v>
      </c>
      <c r="B1" t="s">
        <v>109</v>
      </c>
    </row>
    <row r="2" spans="1:2" x14ac:dyDescent="0.2">
      <c r="A2" s="4" t="s">
        <v>68</v>
      </c>
      <c r="B2">
        <v>99</v>
      </c>
    </row>
    <row r="3" spans="1:2" x14ac:dyDescent="0.2">
      <c r="A3" s="4" t="s">
        <v>81</v>
      </c>
      <c r="B3">
        <v>99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7D688F-57E1-684B-9017-132AE9CAF36C}">
  <sheetPr codeName="Sheet5"/>
  <dimension ref="A1:B120"/>
  <sheetViews>
    <sheetView workbookViewId="0"/>
  </sheetViews>
  <sheetFormatPr baseColWidth="10" defaultRowHeight="16" x14ac:dyDescent="0.2"/>
  <sheetData>
    <row r="1" spans="1:2" x14ac:dyDescent="0.2">
      <c r="A1" t="s">
        <v>67</v>
      </c>
      <c r="B1" t="s">
        <v>78</v>
      </c>
    </row>
    <row r="2" spans="1:2" x14ac:dyDescent="0.2">
      <c r="A2" t="s">
        <v>68</v>
      </c>
      <c r="B2">
        <v>1</v>
      </c>
    </row>
    <row r="3" spans="1:2" x14ac:dyDescent="0.2">
      <c r="A3" t="s">
        <v>68</v>
      </c>
      <c r="B3">
        <v>1</v>
      </c>
    </row>
    <row r="4" spans="1:2" x14ac:dyDescent="0.2">
      <c r="A4" t="s">
        <v>68</v>
      </c>
      <c r="B4">
        <v>1</v>
      </c>
    </row>
    <row r="5" spans="1:2" x14ac:dyDescent="0.2">
      <c r="A5" t="s">
        <v>68</v>
      </c>
      <c r="B5">
        <v>1</v>
      </c>
    </row>
    <row r="6" spans="1:2" x14ac:dyDescent="0.2">
      <c r="A6" t="s">
        <v>68</v>
      </c>
      <c r="B6">
        <v>1</v>
      </c>
    </row>
    <row r="7" spans="1:2" x14ac:dyDescent="0.2">
      <c r="A7" t="s">
        <v>68</v>
      </c>
      <c r="B7">
        <v>1</v>
      </c>
    </row>
    <row r="8" spans="1:2" x14ac:dyDescent="0.2">
      <c r="A8" t="s">
        <v>68</v>
      </c>
      <c r="B8">
        <v>1</v>
      </c>
    </row>
    <row r="9" spans="1:2" x14ac:dyDescent="0.2">
      <c r="A9" t="s">
        <v>68</v>
      </c>
      <c r="B9">
        <v>1</v>
      </c>
    </row>
    <row r="10" spans="1:2" x14ac:dyDescent="0.2">
      <c r="A10" t="s">
        <v>68</v>
      </c>
      <c r="B10">
        <v>1</v>
      </c>
    </row>
    <row r="11" spans="1:2" x14ac:dyDescent="0.2">
      <c r="A11" t="s">
        <v>68</v>
      </c>
      <c r="B11">
        <v>1</v>
      </c>
    </row>
    <row r="12" spans="1:2" x14ac:dyDescent="0.2">
      <c r="A12" t="s">
        <v>68</v>
      </c>
      <c r="B12">
        <v>1</v>
      </c>
    </row>
    <row r="13" spans="1:2" x14ac:dyDescent="0.2">
      <c r="A13" t="s">
        <v>68</v>
      </c>
      <c r="B13">
        <v>1</v>
      </c>
    </row>
    <row r="14" spans="1:2" x14ac:dyDescent="0.2">
      <c r="A14" t="s">
        <v>68</v>
      </c>
      <c r="B14">
        <v>1</v>
      </c>
    </row>
    <row r="15" spans="1:2" x14ac:dyDescent="0.2">
      <c r="A15" t="s">
        <v>68</v>
      </c>
      <c r="B15">
        <v>1</v>
      </c>
    </row>
    <row r="16" spans="1:2" x14ac:dyDescent="0.2">
      <c r="A16" t="s">
        <v>68</v>
      </c>
      <c r="B16">
        <v>1</v>
      </c>
    </row>
    <row r="17" spans="1:2" x14ac:dyDescent="0.2">
      <c r="A17" t="s">
        <v>68</v>
      </c>
      <c r="B17">
        <v>1</v>
      </c>
    </row>
    <row r="18" spans="1:2" x14ac:dyDescent="0.2">
      <c r="A18" t="s">
        <v>68</v>
      </c>
      <c r="B18">
        <v>1</v>
      </c>
    </row>
    <row r="19" spans="1:2" x14ac:dyDescent="0.2">
      <c r="A19" t="s">
        <v>68</v>
      </c>
      <c r="B19">
        <v>1</v>
      </c>
    </row>
    <row r="20" spans="1:2" x14ac:dyDescent="0.2">
      <c r="A20" t="s">
        <v>68</v>
      </c>
      <c r="B20">
        <v>1</v>
      </c>
    </row>
    <row r="21" spans="1:2" x14ac:dyDescent="0.2">
      <c r="A21" t="s">
        <v>68</v>
      </c>
      <c r="B21">
        <v>1</v>
      </c>
    </row>
    <row r="22" spans="1:2" x14ac:dyDescent="0.2">
      <c r="A22" t="s">
        <v>68</v>
      </c>
      <c r="B22">
        <v>1</v>
      </c>
    </row>
    <row r="23" spans="1:2" x14ac:dyDescent="0.2">
      <c r="A23" t="s">
        <v>68</v>
      </c>
      <c r="B23">
        <v>1</v>
      </c>
    </row>
    <row r="24" spans="1:2" x14ac:dyDescent="0.2">
      <c r="A24" t="s">
        <v>68</v>
      </c>
      <c r="B24">
        <v>1</v>
      </c>
    </row>
    <row r="25" spans="1:2" x14ac:dyDescent="0.2">
      <c r="A25" t="s">
        <v>68</v>
      </c>
      <c r="B25">
        <v>1</v>
      </c>
    </row>
    <row r="26" spans="1:2" x14ac:dyDescent="0.2">
      <c r="A26" t="s">
        <v>68</v>
      </c>
      <c r="B26">
        <v>1</v>
      </c>
    </row>
    <row r="27" spans="1:2" x14ac:dyDescent="0.2">
      <c r="A27" t="s">
        <v>68</v>
      </c>
      <c r="B27">
        <v>1</v>
      </c>
    </row>
    <row r="28" spans="1:2" x14ac:dyDescent="0.2">
      <c r="A28" t="s">
        <v>68</v>
      </c>
      <c r="B28">
        <v>1</v>
      </c>
    </row>
    <row r="29" spans="1:2" x14ac:dyDescent="0.2">
      <c r="A29" t="s">
        <v>68</v>
      </c>
      <c r="B29">
        <v>1</v>
      </c>
    </row>
    <row r="30" spans="1:2" x14ac:dyDescent="0.2">
      <c r="A30" t="s">
        <v>68</v>
      </c>
      <c r="B30">
        <v>1</v>
      </c>
    </row>
    <row r="31" spans="1:2" x14ac:dyDescent="0.2">
      <c r="A31" t="s">
        <v>68</v>
      </c>
      <c r="B31">
        <v>1</v>
      </c>
    </row>
    <row r="32" spans="1:2" x14ac:dyDescent="0.2">
      <c r="A32" t="s">
        <v>68</v>
      </c>
      <c r="B32">
        <v>1</v>
      </c>
    </row>
    <row r="33" spans="1:2" x14ac:dyDescent="0.2">
      <c r="A33" t="s">
        <v>68</v>
      </c>
      <c r="B33">
        <v>1</v>
      </c>
    </row>
    <row r="34" spans="1:2" x14ac:dyDescent="0.2">
      <c r="A34" t="s">
        <v>68</v>
      </c>
      <c r="B34">
        <v>1</v>
      </c>
    </row>
    <row r="35" spans="1:2" x14ac:dyDescent="0.2">
      <c r="A35" t="s">
        <v>68</v>
      </c>
      <c r="B35">
        <v>1</v>
      </c>
    </row>
    <row r="36" spans="1:2" x14ac:dyDescent="0.2">
      <c r="A36" t="s">
        <v>68</v>
      </c>
      <c r="B36">
        <v>1</v>
      </c>
    </row>
    <row r="37" spans="1:2" x14ac:dyDescent="0.2">
      <c r="A37" t="s">
        <v>68</v>
      </c>
      <c r="B37">
        <v>1</v>
      </c>
    </row>
    <row r="38" spans="1:2" x14ac:dyDescent="0.2">
      <c r="A38" t="s">
        <v>68</v>
      </c>
      <c r="B38">
        <v>1</v>
      </c>
    </row>
    <row r="39" spans="1:2" x14ac:dyDescent="0.2">
      <c r="A39" t="s">
        <v>68</v>
      </c>
      <c r="B39">
        <v>1</v>
      </c>
    </row>
    <row r="40" spans="1:2" x14ac:dyDescent="0.2">
      <c r="A40" t="s">
        <v>68</v>
      </c>
      <c r="B40">
        <v>1</v>
      </c>
    </row>
    <row r="41" spans="1:2" x14ac:dyDescent="0.2">
      <c r="A41" t="s">
        <v>68</v>
      </c>
      <c r="B41">
        <v>1</v>
      </c>
    </row>
    <row r="42" spans="1:2" x14ac:dyDescent="0.2">
      <c r="A42" t="s">
        <v>68</v>
      </c>
      <c r="B42">
        <v>1</v>
      </c>
    </row>
    <row r="43" spans="1:2" x14ac:dyDescent="0.2">
      <c r="A43" t="s">
        <v>68</v>
      </c>
      <c r="B43">
        <v>1</v>
      </c>
    </row>
    <row r="44" spans="1:2" x14ac:dyDescent="0.2">
      <c r="A44" t="s">
        <v>68</v>
      </c>
      <c r="B44">
        <v>1</v>
      </c>
    </row>
    <row r="45" spans="1:2" x14ac:dyDescent="0.2">
      <c r="A45" t="s">
        <v>68</v>
      </c>
      <c r="B45">
        <v>1</v>
      </c>
    </row>
    <row r="46" spans="1:2" x14ac:dyDescent="0.2">
      <c r="A46" t="s">
        <v>68</v>
      </c>
      <c r="B46">
        <v>1</v>
      </c>
    </row>
    <row r="47" spans="1:2" x14ac:dyDescent="0.2">
      <c r="A47" t="s">
        <v>68</v>
      </c>
      <c r="B47">
        <v>1</v>
      </c>
    </row>
    <row r="48" spans="1:2" x14ac:dyDescent="0.2">
      <c r="A48" t="s">
        <v>68</v>
      </c>
      <c r="B48">
        <v>1</v>
      </c>
    </row>
    <row r="49" spans="1:2" x14ac:dyDescent="0.2">
      <c r="A49" t="s">
        <v>68</v>
      </c>
      <c r="B49">
        <v>1</v>
      </c>
    </row>
    <row r="50" spans="1:2" x14ac:dyDescent="0.2">
      <c r="A50" t="s">
        <v>68</v>
      </c>
      <c r="B50">
        <v>1</v>
      </c>
    </row>
    <row r="51" spans="1:2" x14ac:dyDescent="0.2">
      <c r="A51" t="s">
        <v>68</v>
      </c>
      <c r="B51">
        <v>1</v>
      </c>
    </row>
    <row r="52" spans="1:2" x14ac:dyDescent="0.2">
      <c r="A52" t="s">
        <v>68</v>
      </c>
      <c r="B52">
        <v>1</v>
      </c>
    </row>
    <row r="53" spans="1:2" x14ac:dyDescent="0.2">
      <c r="A53" t="s">
        <v>68</v>
      </c>
      <c r="B53">
        <v>1</v>
      </c>
    </row>
    <row r="54" spans="1:2" x14ac:dyDescent="0.2">
      <c r="A54" t="s">
        <v>68</v>
      </c>
      <c r="B54">
        <v>1</v>
      </c>
    </row>
    <row r="55" spans="1:2" x14ac:dyDescent="0.2">
      <c r="A55" t="s">
        <v>68</v>
      </c>
      <c r="B55">
        <v>1</v>
      </c>
    </row>
    <row r="56" spans="1:2" x14ac:dyDescent="0.2">
      <c r="A56" t="s">
        <v>68</v>
      </c>
      <c r="B56">
        <v>1</v>
      </c>
    </row>
    <row r="57" spans="1:2" x14ac:dyDescent="0.2">
      <c r="A57" t="s">
        <v>68</v>
      </c>
      <c r="B57">
        <v>1</v>
      </c>
    </row>
    <row r="58" spans="1:2" x14ac:dyDescent="0.2">
      <c r="A58" t="s">
        <v>68</v>
      </c>
      <c r="B58">
        <v>1</v>
      </c>
    </row>
    <row r="59" spans="1:2" x14ac:dyDescent="0.2">
      <c r="A59" t="s">
        <v>68</v>
      </c>
      <c r="B59">
        <v>1</v>
      </c>
    </row>
    <row r="60" spans="1:2" x14ac:dyDescent="0.2">
      <c r="A60" t="s">
        <v>68</v>
      </c>
      <c r="B60">
        <v>1</v>
      </c>
    </row>
    <row r="61" spans="1:2" x14ac:dyDescent="0.2">
      <c r="A61" t="s">
        <v>68</v>
      </c>
      <c r="B61">
        <v>1</v>
      </c>
    </row>
    <row r="62" spans="1:2" x14ac:dyDescent="0.2">
      <c r="A62" t="s">
        <v>68</v>
      </c>
      <c r="B62">
        <v>1</v>
      </c>
    </row>
    <row r="63" spans="1:2" x14ac:dyDescent="0.2">
      <c r="A63" t="s">
        <v>68</v>
      </c>
      <c r="B63">
        <v>1</v>
      </c>
    </row>
    <row r="64" spans="1:2" x14ac:dyDescent="0.2">
      <c r="A64" t="s">
        <v>68</v>
      </c>
      <c r="B64">
        <v>1</v>
      </c>
    </row>
    <row r="65" spans="1:2" x14ac:dyDescent="0.2">
      <c r="A65" t="s">
        <v>68</v>
      </c>
      <c r="B65">
        <v>1</v>
      </c>
    </row>
    <row r="66" spans="1:2" x14ac:dyDescent="0.2">
      <c r="A66" t="s">
        <v>68</v>
      </c>
      <c r="B66">
        <v>1</v>
      </c>
    </row>
    <row r="67" spans="1:2" x14ac:dyDescent="0.2">
      <c r="A67" t="s">
        <v>68</v>
      </c>
      <c r="B67">
        <v>1</v>
      </c>
    </row>
    <row r="68" spans="1:2" x14ac:dyDescent="0.2">
      <c r="A68" t="s">
        <v>68</v>
      </c>
      <c r="B68">
        <v>1</v>
      </c>
    </row>
    <row r="69" spans="1:2" x14ac:dyDescent="0.2">
      <c r="A69" t="s">
        <v>68</v>
      </c>
      <c r="B69">
        <v>1</v>
      </c>
    </row>
    <row r="70" spans="1:2" x14ac:dyDescent="0.2">
      <c r="A70" t="s">
        <v>68</v>
      </c>
      <c r="B70">
        <v>1</v>
      </c>
    </row>
    <row r="71" spans="1:2" x14ac:dyDescent="0.2">
      <c r="A71" t="s">
        <v>68</v>
      </c>
      <c r="B71">
        <v>1</v>
      </c>
    </row>
    <row r="72" spans="1:2" x14ac:dyDescent="0.2">
      <c r="A72" t="s">
        <v>68</v>
      </c>
      <c r="B72">
        <v>1</v>
      </c>
    </row>
    <row r="73" spans="1:2" x14ac:dyDescent="0.2">
      <c r="A73" t="s">
        <v>68</v>
      </c>
      <c r="B73">
        <v>1</v>
      </c>
    </row>
    <row r="74" spans="1:2" x14ac:dyDescent="0.2">
      <c r="A74" t="s">
        <v>68</v>
      </c>
      <c r="B74">
        <v>1</v>
      </c>
    </row>
    <row r="75" spans="1:2" x14ac:dyDescent="0.2">
      <c r="A75" t="s">
        <v>68</v>
      </c>
      <c r="B75">
        <v>1</v>
      </c>
    </row>
    <row r="76" spans="1:2" x14ac:dyDescent="0.2">
      <c r="A76" t="s">
        <v>68</v>
      </c>
      <c r="B76">
        <v>1</v>
      </c>
    </row>
    <row r="77" spans="1:2" x14ac:dyDescent="0.2">
      <c r="A77" t="s">
        <v>68</v>
      </c>
      <c r="B77">
        <v>1</v>
      </c>
    </row>
    <row r="78" spans="1:2" x14ac:dyDescent="0.2">
      <c r="A78" t="s">
        <v>68</v>
      </c>
      <c r="B78">
        <v>1</v>
      </c>
    </row>
    <row r="79" spans="1:2" x14ac:dyDescent="0.2">
      <c r="A79" t="s">
        <v>68</v>
      </c>
      <c r="B79">
        <v>1</v>
      </c>
    </row>
    <row r="80" spans="1:2" x14ac:dyDescent="0.2">
      <c r="A80" t="s">
        <v>68</v>
      </c>
      <c r="B80">
        <v>1</v>
      </c>
    </row>
    <row r="81" spans="1:2" x14ac:dyDescent="0.2">
      <c r="A81" t="s">
        <v>68</v>
      </c>
      <c r="B81">
        <v>1</v>
      </c>
    </row>
    <row r="82" spans="1:2" x14ac:dyDescent="0.2">
      <c r="A82" t="s">
        <v>68</v>
      </c>
      <c r="B82">
        <v>1</v>
      </c>
    </row>
    <row r="83" spans="1:2" x14ac:dyDescent="0.2">
      <c r="A83" t="s">
        <v>68</v>
      </c>
      <c r="B83">
        <v>1</v>
      </c>
    </row>
    <row r="84" spans="1:2" x14ac:dyDescent="0.2">
      <c r="A84" t="s">
        <v>68</v>
      </c>
      <c r="B84">
        <v>1</v>
      </c>
    </row>
    <row r="85" spans="1:2" x14ac:dyDescent="0.2">
      <c r="A85" t="s">
        <v>68</v>
      </c>
      <c r="B85">
        <v>1</v>
      </c>
    </row>
    <row r="86" spans="1:2" x14ac:dyDescent="0.2">
      <c r="A86" t="s">
        <v>68</v>
      </c>
      <c r="B86">
        <v>1</v>
      </c>
    </row>
    <row r="87" spans="1:2" x14ac:dyDescent="0.2">
      <c r="A87" t="s">
        <v>68</v>
      </c>
      <c r="B87">
        <v>1</v>
      </c>
    </row>
    <row r="88" spans="1:2" x14ac:dyDescent="0.2">
      <c r="A88" t="s">
        <v>68</v>
      </c>
      <c r="B88">
        <v>1</v>
      </c>
    </row>
    <row r="89" spans="1:2" x14ac:dyDescent="0.2">
      <c r="A89" t="s">
        <v>68</v>
      </c>
      <c r="B89">
        <v>1</v>
      </c>
    </row>
    <row r="90" spans="1:2" x14ac:dyDescent="0.2">
      <c r="A90" t="s">
        <v>68</v>
      </c>
      <c r="B90">
        <v>1</v>
      </c>
    </row>
    <row r="91" spans="1:2" x14ac:dyDescent="0.2">
      <c r="A91" t="s">
        <v>68</v>
      </c>
      <c r="B91">
        <v>1</v>
      </c>
    </row>
    <row r="92" spans="1:2" x14ac:dyDescent="0.2">
      <c r="A92" t="s">
        <v>68</v>
      </c>
      <c r="B92">
        <v>1</v>
      </c>
    </row>
    <row r="93" spans="1:2" x14ac:dyDescent="0.2">
      <c r="A93" t="s">
        <v>68</v>
      </c>
      <c r="B93">
        <v>1</v>
      </c>
    </row>
    <row r="94" spans="1:2" x14ac:dyDescent="0.2">
      <c r="A94" t="s">
        <v>68</v>
      </c>
      <c r="B94">
        <v>1</v>
      </c>
    </row>
    <row r="95" spans="1:2" x14ac:dyDescent="0.2">
      <c r="A95" t="s">
        <v>68</v>
      </c>
      <c r="B95">
        <v>1</v>
      </c>
    </row>
    <row r="96" spans="1:2" x14ac:dyDescent="0.2">
      <c r="A96" t="s">
        <v>68</v>
      </c>
      <c r="B96">
        <v>1</v>
      </c>
    </row>
    <row r="97" spans="1:2" x14ac:dyDescent="0.2">
      <c r="A97" t="s">
        <v>68</v>
      </c>
      <c r="B97">
        <v>1</v>
      </c>
    </row>
    <row r="98" spans="1:2" x14ac:dyDescent="0.2">
      <c r="A98" t="s">
        <v>68</v>
      </c>
      <c r="B98">
        <v>1</v>
      </c>
    </row>
    <row r="99" spans="1:2" x14ac:dyDescent="0.2">
      <c r="A99" t="s">
        <v>68</v>
      </c>
      <c r="B99">
        <v>1</v>
      </c>
    </row>
    <row r="100" spans="1:2" x14ac:dyDescent="0.2">
      <c r="A100" t="s">
        <v>68</v>
      </c>
      <c r="B100">
        <v>1</v>
      </c>
    </row>
    <row r="101" spans="1:2" x14ac:dyDescent="0.2">
      <c r="A101" t="s">
        <v>68</v>
      </c>
      <c r="B101">
        <v>10</v>
      </c>
    </row>
    <row r="102" spans="1:2" x14ac:dyDescent="0.2">
      <c r="A102" t="s">
        <v>68</v>
      </c>
      <c r="B102">
        <v>10</v>
      </c>
    </row>
    <row r="103" spans="1:2" x14ac:dyDescent="0.2">
      <c r="A103" t="s">
        <v>68</v>
      </c>
      <c r="B103">
        <v>10</v>
      </c>
    </row>
    <row r="104" spans="1:2" x14ac:dyDescent="0.2">
      <c r="A104" t="s">
        <v>68</v>
      </c>
      <c r="B104">
        <v>10</v>
      </c>
    </row>
    <row r="105" spans="1:2" x14ac:dyDescent="0.2">
      <c r="A105" t="s">
        <v>68</v>
      </c>
      <c r="B105">
        <v>10</v>
      </c>
    </row>
    <row r="106" spans="1:2" x14ac:dyDescent="0.2">
      <c r="A106" t="s">
        <v>68</v>
      </c>
      <c r="B106">
        <v>10</v>
      </c>
    </row>
    <row r="107" spans="1:2" x14ac:dyDescent="0.2">
      <c r="A107" t="s">
        <v>68</v>
      </c>
      <c r="B107">
        <v>10</v>
      </c>
    </row>
    <row r="108" spans="1:2" x14ac:dyDescent="0.2">
      <c r="A108" t="s">
        <v>68</v>
      </c>
      <c r="B108">
        <v>10</v>
      </c>
    </row>
    <row r="109" spans="1:2" x14ac:dyDescent="0.2">
      <c r="A109" t="s">
        <v>68</v>
      </c>
      <c r="B109">
        <v>10</v>
      </c>
    </row>
    <row r="110" spans="1:2" x14ac:dyDescent="0.2">
      <c r="A110" t="s">
        <v>68</v>
      </c>
      <c r="B110">
        <v>10</v>
      </c>
    </row>
    <row r="111" spans="1:2" x14ac:dyDescent="0.2">
      <c r="A111" t="s">
        <v>68</v>
      </c>
      <c r="B111">
        <v>10</v>
      </c>
    </row>
    <row r="112" spans="1:2" x14ac:dyDescent="0.2">
      <c r="A112" t="s">
        <v>68</v>
      </c>
      <c r="B112">
        <v>10</v>
      </c>
    </row>
    <row r="113" spans="1:2" x14ac:dyDescent="0.2">
      <c r="A113" t="s">
        <v>68</v>
      </c>
      <c r="B113">
        <v>10</v>
      </c>
    </row>
    <row r="114" spans="1:2" x14ac:dyDescent="0.2">
      <c r="A114" t="s">
        <v>68</v>
      </c>
      <c r="B114">
        <v>10</v>
      </c>
    </row>
    <row r="115" spans="1:2" x14ac:dyDescent="0.2">
      <c r="A115" t="s">
        <v>68</v>
      </c>
      <c r="B115">
        <v>10</v>
      </c>
    </row>
    <row r="116" spans="1:2" x14ac:dyDescent="0.2">
      <c r="A116" t="s">
        <v>68</v>
      </c>
      <c r="B116">
        <v>10</v>
      </c>
    </row>
    <row r="117" spans="1:2" x14ac:dyDescent="0.2">
      <c r="A117" t="s">
        <v>68</v>
      </c>
      <c r="B117">
        <v>10</v>
      </c>
    </row>
    <row r="118" spans="1:2" x14ac:dyDescent="0.2">
      <c r="A118" t="s">
        <v>68</v>
      </c>
      <c r="B118">
        <v>10</v>
      </c>
    </row>
    <row r="119" spans="1:2" x14ac:dyDescent="0.2">
      <c r="A119" t="s">
        <v>68</v>
      </c>
      <c r="B119">
        <v>10</v>
      </c>
    </row>
    <row r="120" spans="1:2" x14ac:dyDescent="0.2">
      <c r="A120" t="s">
        <v>68</v>
      </c>
      <c r="B120">
        <v>10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FFB336-A7CD-C442-8AA9-0F0F84D274A8}">
  <sheetPr codeName="Sheet3"/>
  <dimension ref="A1"/>
  <sheetViews>
    <sheetView workbookViewId="0">
      <selection activeCell="B3" sqref="B3"/>
    </sheetView>
  </sheetViews>
  <sheetFormatPr baseColWidth="10" defaultRowHeight="16" x14ac:dyDescent="0.2"/>
  <cols>
    <col min="4" max="4" width="10.83203125" customWidth="1"/>
  </cols>
  <sheetData>
    <row r="1" spans="1:1" x14ac:dyDescent="0.2">
      <c r="A1" t="s">
        <v>105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4A01CD-2B43-9E4B-8BE5-2BB80067096E}">
  <sheetPr codeName="Sheet2"/>
  <dimension ref="A1:H81"/>
  <sheetViews>
    <sheetView tabSelected="1" workbookViewId="0"/>
  </sheetViews>
  <sheetFormatPr baseColWidth="10" defaultRowHeight="16" x14ac:dyDescent="0.2"/>
  <cols>
    <col min="1" max="1" width="30.1640625" bestFit="1" customWidth="1"/>
    <col min="2" max="2" width="5.6640625" bestFit="1" customWidth="1"/>
    <col min="3" max="3" width="6.33203125" bestFit="1" customWidth="1"/>
    <col min="4" max="5" width="29.6640625" bestFit="1" customWidth="1"/>
  </cols>
  <sheetData>
    <row r="1" spans="1:8" x14ac:dyDescent="0.2">
      <c r="A1" t="s">
        <v>1</v>
      </c>
      <c r="B1" t="s">
        <v>2</v>
      </c>
      <c r="C1" t="s">
        <v>3</v>
      </c>
      <c r="D1" t="s">
        <v>4</v>
      </c>
      <c r="E1" t="s">
        <v>5</v>
      </c>
      <c r="G1" t="s">
        <v>6</v>
      </c>
    </row>
    <row r="2" spans="1:8" x14ac:dyDescent="0.2">
      <c r="A2" t="s">
        <v>8</v>
      </c>
      <c r="B2">
        <v>2</v>
      </c>
      <c r="C2" t="s">
        <v>9</v>
      </c>
      <c r="D2">
        <v>10</v>
      </c>
      <c r="E2">
        <v>10</v>
      </c>
      <c r="G2">
        <v>16.111999999999998</v>
      </c>
    </row>
    <row r="3" spans="1:8" x14ac:dyDescent="0.2">
      <c r="A3" t="s">
        <v>10</v>
      </c>
      <c r="B3">
        <v>2</v>
      </c>
      <c r="C3" t="s">
        <v>9</v>
      </c>
      <c r="D3">
        <v>20</v>
      </c>
      <c r="E3">
        <v>20</v>
      </c>
      <c r="G3" t="s">
        <v>7</v>
      </c>
    </row>
    <row r="4" spans="1:8" x14ac:dyDescent="0.2">
      <c r="A4" t="s">
        <v>11</v>
      </c>
      <c r="B4">
        <v>3</v>
      </c>
      <c r="C4" t="s">
        <v>9</v>
      </c>
      <c r="D4">
        <v>6</v>
      </c>
      <c r="E4">
        <v>6</v>
      </c>
      <c r="G4" s="1">
        <v>46308.530162037037</v>
      </c>
    </row>
    <row r="5" spans="1:8" x14ac:dyDescent="0.2">
      <c r="A5" t="s">
        <v>12</v>
      </c>
      <c r="B5">
        <v>3</v>
      </c>
      <c r="C5" t="s">
        <v>9</v>
      </c>
      <c r="D5">
        <v>6</v>
      </c>
      <c r="E5">
        <v>6</v>
      </c>
    </row>
    <row r="6" spans="1:8" x14ac:dyDescent="0.2">
      <c r="A6" t="s">
        <v>13</v>
      </c>
      <c r="B6">
        <v>3</v>
      </c>
      <c r="C6" t="s">
        <v>9</v>
      </c>
      <c r="D6">
        <v>2</v>
      </c>
      <c r="E6">
        <v>2</v>
      </c>
      <c r="G6" t="s">
        <v>9</v>
      </c>
      <c r="H6">
        <f>COUNTIF(C:C,"PASS")</f>
        <v>78</v>
      </c>
    </row>
    <row r="7" spans="1:8" x14ac:dyDescent="0.2">
      <c r="A7" t="s">
        <v>14</v>
      </c>
      <c r="B7">
        <v>3</v>
      </c>
      <c r="C7" t="s">
        <v>9</v>
      </c>
      <c r="D7" t="b">
        <v>0</v>
      </c>
      <c r="E7" t="b">
        <v>0</v>
      </c>
      <c r="G7" t="s">
        <v>19</v>
      </c>
      <c r="H7">
        <f>COUNTIF(C:C,"FAIL")</f>
        <v>2</v>
      </c>
    </row>
    <row r="8" spans="1:8" x14ac:dyDescent="0.2">
      <c r="A8" t="s">
        <v>15</v>
      </c>
      <c r="B8">
        <v>4</v>
      </c>
      <c r="C8" t="s">
        <v>9</v>
      </c>
      <c r="D8">
        <v>11</v>
      </c>
      <c r="E8">
        <v>11</v>
      </c>
    </row>
    <row r="9" spans="1:8" x14ac:dyDescent="0.2">
      <c r="A9" t="s">
        <v>16</v>
      </c>
      <c r="B9">
        <v>4</v>
      </c>
      <c r="C9" t="s">
        <v>9</v>
      </c>
      <c r="D9">
        <v>16</v>
      </c>
      <c r="E9">
        <v>16</v>
      </c>
    </row>
    <row r="10" spans="1:8" x14ac:dyDescent="0.2">
      <c r="A10" t="s">
        <v>17</v>
      </c>
      <c r="B10">
        <v>4</v>
      </c>
      <c r="C10" t="s">
        <v>9</v>
      </c>
      <c r="D10">
        <v>9.4887929345830492E-3</v>
      </c>
      <c r="E10">
        <v>9.4887929345830492E-3</v>
      </c>
    </row>
    <row r="11" spans="1:8" x14ac:dyDescent="0.2">
      <c r="A11" t="s">
        <v>18</v>
      </c>
      <c r="B11">
        <v>4</v>
      </c>
      <c r="C11" t="s">
        <v>19</v>
      </c>
      <c r="D11">
        <v>9.4999999999999998E-3</v>
      </c>
      <c r="E11" s="2">
        <v>9.4999999999999998E-3</v>
      </c>
    </row>
    <row r="12" spans="1:8" x14ac:dyDescent="0.2">
      <c r="A12" t="s">
        <v>20</v>
      </c>
      <c r="B12">
        <v>4</v>
      </c>
      <c r="C12" t="s">
        <v>9</v>
      </c>
      <c r="D12">
        <v>9.4889999999999992E-3</v>
      </c>
      <c r="E12">
        <v>9.4889999999999992E-3</v>
      </c>
    </row>
    <row r="13" spans="1:8" x14ac:dyDescent="0.2">
      <c r="A13" t="s">
        <v>21</v>
      </c>
      <c r="B13">
        <v>4</v>
      </c>
      <c r="C13" t="s">
        <v>9</v>
      </c>
      <c r="D13">
        <v>500000</v>
      </c>
      <c r="E13">
        <v>500000</v>
      </c>
    </row>
    <row r="14" spans="1:8" x14ac:dyDescent="0.2">
      <c r="A14" t="s">
        <v>22</v>
      </c>
      <c r="B14">
        <v>4</v>
      </c>
      <c r="C14" t="s">
        <v>9</v>
      </c>
      <c r="D14">
        <v>0.12</v>
      </c>
      <c r="E14">
        <v>0.12</v>
      </c>
    </row>
    <row r="15" spans="1:8" x14ac:dyDescent="0.2">
      <c r="A15" t="s">
        <v>23</v>
      </c>
      <c r="B15">
        <v>4</v>
      </c>
      <c r="C15" t="s">
        <v>9</v>
      </c>
      <c r="D15">
        <v>-9</v>
      </c>
      <c r="E15">
        <v>-9</v>
      </c>
    </row>
    <row r="16" spans="1:8" x14ac:dyDescent="0.2">
      <c r="A16" t="s">
        <v>24</v>
      </c>
      <c r="B16">
        <v>4</v>
      </c>
      <c r="C16" t="s">
        <v>9</v>
      </c>
      <c r="D16">
        <v>4</v>
      </c>
      <c r="E16">
        <v>4</v>
      </c>
    </row>
    <row r="17" spans="1:5" x14ac:dyDescent="0.2">
      <c r="A17" t="s">
        <v>25</v>
      </c>
      <c r="B17">
        <v>5</v>
      </c>
      <c r="C17" t="s">
        <v>9</v>
      </c>
      <c r="D17">
        <v>13</v>
      </c>
      <c r="E17">
        <v>13</v>
      </c>
    </row>
    <row r="18" spans="1:5" x14ac:dyDescent="0.2">
      <c r="A18" t="s">
        <v>26</v>
      </c>
      <c r="B18">
        <v>5</v>
      </c>
      <c r="C18" t="s">
        <v>9</v>
      </c>
      <c r="D18" t="b">
        <v>1</v>
      </c>
      <c r="E18" t="b">
        <v>1</v>
      </c>
    </row>
    <row r="19" spans="1:5" x14ac:dyDescent="0.2">
      <c r="A19" t="s">
        <v>27</v>
      </c>
      <c r="B19">
        <v>5</v>
      </c>
      <c r="C19" t="s">
        <v>9</v>
      </c>
      <c r="D19" t="b">
        <v>0</v>
      </c>
      <c r="E19" t="b">
        <v>0</v>
      </c>
    </row>
    <row r="20" spans="1:5" x14ac:dyDescent="0.2">
      <c r="A20" t="s">
        <v>28</v>
      </c>
      <c r="B20">
        <v>5</v>
      </c>
      <c r="C20" t="s">
        <v>9</v>
      </c>
      <c r="D20">
        <v>0.05</v>
      </c>
      <c r="E20">
        <v>0.05</v>
      </c>
    </row>
    <row r="21" spans="1:5" x14ac:dyDescent="0.2">
      <c r="A21" t="s">
        <v>29</v>
      </c>
      <c r="B21">
        <v>6</v>
      </c>
      <c r="C21" t="s">
        <v>9</v>
      </c>
      <c r="D21" t="s">
        <v>30</v>
      </c>
      <c r="E21" t="s">
        <v>30</v>
      </c>
    </row>
    <row r="22" spans="1:5" x14ac:dyDescent="0.2">
      <c r="A22" t="s">
        <v>31</v>
      </c>
      <c r="B22">
        <v>6</v>
      </c>
      <c r="C22" t="s">
        <v>9</v>
      </c>
      <c r="D22" t="s">
        <v>32</v>
      </c>
      <c r="E22" t="s">
        <v>32</v>
      </c>
    </row>
    <row r="23" spans="1:5" x14ac:dyDescent="0.2">
      <c r="A23" t="s">
        <v>33</v>
      </c>
      <c r="B23">
        <v>6</v>
      </c>
      <c r="C23" t="s">
        <v>9</v>
      </c>
      <c r="D23" t="b">
        <v>1</v>
      </c>
      <c r="E23" t="b">
        <v>1</v>
      </c>
    </row>
    <row r="24" spans="1:5" x14ac:dyDescent="0.2">
      <c r="A24" t="s">
        <v>34</v>
      </c>
      <c r="B24">
        <v>6</v>
      </c>
      <c r="C24" t="s">
        <v>9</v>
      </c>
      <c r="D24" t="b">
        <v>0</v>
      </c>
      <c r="E24" t="b">
        <v>0</v>
      </c>
    </row>
    <row r="25" spans="1:5" x14ac:dyDescent="0.2">
      <c r="A25" t="s">
        <v>35</v>
      </c>
      <c r="B25">
        <v>8</v>
      </c>
      <c r="C25" t="s">
        <v>9</v>
      </c>
      <c r="D25" t="s">
        <v>36</v>
      </c>
      <c r="E25" t="s">
        <v>36</v>
      </c>
    </row>
    <row r="26" spans="1:5" x14ac:dyDescent="0.2">
      <c r="A26" t="s">
        <v>37</v>
      </c>
      <c r="B26">
        <v>8</v>
      </c>
      <c r="C26" t="s">
        <v>9</v>
      </c>
      <c r="D26" t="s">
        <v>38</v>
      </c>
      <c r="E26" t="s">
        <v>38</v>
      </c>
    </row>
    <row r="27" spans="1:5" x14ac:dyDescent="0.2">
      <c r="A27" t="s">
        <v>40</v>
      </c>
      <c r="B27">
        <v>8</v>
      </c>
      <c r="C27" t="s">
        <v>9</v>
      </c>
      <c r="D27" t="s">
        <v>39</v>
      </c>
      <c r="E27" t="s">
        <v>39</v>
      </c>
    </row>
    <row r="28" spans="1:5" x14ac:dyDescent="0.2">
      <c r="A28" t="s">
        <v>41</v>
      </c>
      <c r="B28">
        <v>9</v>
      </c>
      <c r="C28" t="s">
        <v>9</v>
      </c>
      <c r="D28" t="s">
        <v>42</v>
      </c>
      <c r="E28" t="s">
        <v>42</v>
      </c>
    </row>
    <row r="29" spans="1:5" x14ac:dyDescent="0.2">
      <c r="A29" t="s">
        <v>43</v>
      </c>
      <c r="B29">
        <v>9</v>
      </c>
      <c r="C29" t="s">
        <v>9</v>
      </c>
      <c r="D29">
        <v>1</v>
      </c>
      <c r="E29">
        <v>1</v>
      </c>
    </row>
    <row r="30" spans="1:5" x14ac:dyDescent="0.2">
      <c r="A30" t="s">
        <v>44</v>
      </c>
      <c r="B30">
        <v>9</v>
      </c>
      <c r="C30" t="s">
        <v>9</v>
      </c>
      <c r="D30">
        <v>120</v>
      </c>
      <c r="E30">
        <v>120</v>
      </c>
    </row>
    <row r="31" spans="1:5" x14ac:dyDescent="0.2">
      <c r="A31" t="s">
        <v>45</v>
      </c>
      <c r="B31">
        <v>9</v>
      </c>
      <c r="C31" t="s">
        <v>9</v>
      </c>
      <c r="D31">
        <v>10284031</v>
      </c>
      <c r="E31">
        <v>10284031</v>
      </c>
    </row>
    <row r="32" spans="1:5" x14ac:dyDescent="0.2">
      <c r="A32" t="s">
        <v>47</v>
      </c>
      <c r="B32">
        <v>9</v>
      </c>
      <c r="C32" t="s">
        <v>9</v>
      </c>
      <c r="D32" t="s">
        <v>46</v>
      </c>
      <c r="E32" t="s">
        <v>46</v>
      </c>
    </row>
    <row r="33" spans="1:5" x14ac:dyDescent="0.2">
      <c r="A33" t="s">
        <v>48</v>
      </c>
      <c r="B33">
        <v>9</v>
      </c>
      <c r="C33" t="s">
        <v>9</v>
      </c>
    </row>
    <row r="34" spans="1:5" x14ac:dyDescent="0.2">
      <c r="A34" t="s">
        <v>49</v>
      </c>
      <c r="B34">
        <v>9</v>
      </c>
      <c r="C34" t="s">
        <v>9</v>
      </c>
      <c r="D34">
        <v>3</v>
      </c>
      <c r="E34">
        <v>3</v>
      </c>
    </row>
    <row r="35" spans="1:5" x14ac:dyDescent="0.2">
      <c r="A35" t="s">
        <v>50</v>
      </c>
      <c r="B35">
        <v>10</v>
      </c>
      <c r="C35" t="s">
        <v>9</v>
      </c>
      <c r="D35">
        <v>8</v>
      </c>
      <c r="E35">
        <v>8</v>
      </c>
    </row>
    <row r="36" spans="1:5" x14ac:dyDescent="0.2">
      <c r="A36" t="s">
        <v>51</v>
      </c>
      <c r="B36">
        <v>10</v>
      </c>
      <c r="C36" t="s">
        <v>9</v>
      </c>
      <c r="D36">
        <v>9.4887929345830492E-3</v>
      </c>
      <c r="E36">
        <v>9.4887929345830492E-3</v>
      </c>
    </row>
    <row r="37" spans="1:5" x14ac:dyDescent="0.2">
      <c r="A37" t="s">
        <v>52</v>
      </c>
      <c r="B37">
        <v>10</v>
      </c>
      <c r="C37" t="s">
        <v>9</v>
      </c>
      <c r="D37">
        <v>1160</v>
      </c>
      <c r="E37">
        <v>1160</v>
      </c>
    </row>
    <row r="38" spans="1:5" x14ac:dyDescent="0.2">
      <c r="A38" t="s">
        <v>53</v>
      </c>
      <c r="B38">
        <v>10</v>
      </c>
      <c r="C38" t="s">
        <v>9</v>
      </c>
      <c r="D38">
        <v>14</v>
      </c>
      <c r="E38">
        <v>14</v>
      </c>
    </row>
    <row r="39" spans="1:5" x14ac:dyDescent="0.2">
      <c r="A39" t="s">
        <v>54</v>
      </c>
      <c r="B39">
        <v>10</v>
      </c>
      <c r="C39" t="s">
        <v>9</v>
      </c>
      <c r="D39">
        <v>9.4887929345830492E-3</v>
      </c>
      <c r="E39">
        <v>9.4887929345830492E-3</v>
      </c>
    </row>
    <row r="40" spans="1:5" x14ac:dyDescent="0.2">
      <c r="A40" t="s">
        <v>55</v>
      </c>
      <c r="B40">
        <v>12</v>
      </c>
      <c r="C40" t="s">
        <v>9</v>
      </c>
      <c r="D40">
        <v>180000</v>
      </c>
      <c r="E40">
        <v>180000</v>
      </c>
    </row>
    <row r="41" spans="1:5" x14ac:dyDescent="0.2">
      <c r="A41" t="s">
        <v>56</v>
      </c>
      <c r="B41">
        <v>12</v>
      </c>
      <c r="C41" t="s">
        <v>9</v>
      </c>
      <c r="D41">
        <v>0</v>
      </c>
      <c r="E41">
        <v>0</v>
      </c>
    </row>
    <row r="42" spans="1:5" x14ac:dyDescent="0.2">
      <c r="A42" t="s">
        <v>57</v>
      </c>
      <c r="B42">
        <v>12</v>
      </c>
      <c r="C42" t="s">
        <v>9</v>
      </c>
      <c r="D42">
        <v>91</v>
      </c>
      <c r="E42">
        <v>91</v>
      </c>
    </row>
    <row r="43" spans="1:5" x14ac:dyDescent="0.2">
      <c r="A43" t="s">
        <v>58</v>
      </c>
      <c r="B43">
        <v>12</v>
      </c>
      <c r="C43" t="s">
        <v>9</v>
      </c>
      <c r="D43">
        <v>240000</v>
      </c>
      <c r="E43">
        <v>240000</v>
      </c>
    </row>
    <row r="44" spans="1:5" x14ac:dyDescent="0.2">
      <c r="A44" t="s">
        <v>59</v>
      </c>
      <c r="B44">
        <v>13</v>
      </c>
      <c r="C44" t="s">
        <v>9</v>
      </c>
      <c r="D44" t="s">
        <v>60</v>
      </c>
      <c r="E44" t="s">
        <v>60</v>
      </c>
    </row>
    <row r="45" spans="1:5" x14ac:dyDescent="0.2">
      <c r="A45" t="s">
        <v>61</v>
      </c>
      <c r="B45">
        <v>13</v>
      </c>
      <c r="C45" t="s">
        <v>9</v>
      </c>
      <c r="D45" t="s">
        <v>62</v>
      </c>
      <c r="E45" t="s">
        <v>62</v>
      </c>
    </row>
    <row r="46" spans="1:5" x14ac:dyDescent="0.2">
      <c r="A46" t="s">
        <v>63</v>
      </c>
      <c r="B46">
        <v>13</v>
      </c>
      <c r="C46" t="s">
        <v>9</v>
      </c>
      <c r="D46">
        <v>4</v>
      </c>
      <c r="E46">
        <v>4</v>
      </c>
    </row>
    <row r="47" spans="1:5" x14ac:dyDescent="0.2">
      <c r="A47" t="s">
        <v>64</v>
      </c>
      <c r="B47">
        <v>13</v>
      </c>
      <c r="C47" t="s">
        <v>9</v>
      </c>
      <c r="D47" t="s">
        <v>65</v>
      </c>
      <c r="E47" t="s">
        <v>65</v>
      </c>
    </row>
    <row r="48" spans="1:5" x14ac:dyDescent="0.2">
      <c r="A48" t="s">
        <v>66</v>
      </c>
      <c r="B48">
        <v>13</v>
      </c>
      <c r="C48" t="s">
        <v>19</v>
      </c>
      <c r="D48">
        <v>8224</v>
      </c>
      <c r="E48">
        <v>160</v>
      </c>
    </row>
    <row r="49" spans="1:5" x14ac:dyDescent="0.2">
      <c r="A49" t="s">
        <v>71</v>
      </c>
      <c r="B49">
        <v>13</v>
      </c>
      <c r="C49" t="s">
        <v>9</v>
      </c>
      <c r="D49" t="s">
        <v>69</v>
      </c>
      <c r="E49" t="s">
        <v>69</v>
      </c>
    </row>
    <row r="50" spans="1:5" x14ac:dyDescent="0.2">
      <c r="A50" t="s">
        <v>72</v>
      </c>
      <c r="B50">
        <v>13</v>
      </c>
      <c r="C50" t="s">
        <v>9</v>
      </c>
      <c r="D50">
        <v>2</v>
      </c>
      <c r="E50">
        <v>2</v>
      </c>
    </row>
    <row r="51" spans="1:5" x14ac:dyDescent="0.2">
      <c r="A51" t="s">
        <v>73</v>
      </c>
      <c r="B51">
        <v>13</v>
      </c>
      <c r="C51" t="s">
        <v>9</v>
      </c>
      <c r="D51">
        <v>3</v>
      </c>
      <c r="E51">
        <v>3</v>
      </c>
    </row>
    <row r="52" spans="1:5" x14ac:dyDescent="0.2">
      <c r="A52" t="s">
        <v>76</v>
      </c>
      <c r="B52">
        <v>13</v>
      </c>
      <c r="C52" t="s">
        <v>9</v>
      </c>
      <c r="D52" t="s">
        <v>74</v>
      </c>
      <c r="E52" t="s">
        <v>74</v>
      </c>
    </row>
    <row r="53" spans="1:5" x14ac:dyDescent="0.2">
      <c r="A53" t="s">
        <v>77</v>
      </c>
      <c r="B53">
        <v>13</v>
      </c>
      <c r="C53" t="s">
        <v>9</v>
      </c>
      <c r="D53" t="s">
        <v>75</v>
      </c>
      <c r="E53" t="s">
        <v>75</v>
      </c>
    </row>
    <row r="54" spans="1:5" x14ac:dyDescent="0.2">
      <c r="A54" t="s">
        <v>79</v>
      </c>
      <c r="B54">
        <v>14</v>
      </c>
      <c r="C54" t="s">
        <v>9</v>
      </c>
      <c r="D54">
        <v>2</v>
      </c>
      <c r="E54">
        <v>2</v>
      </c>
    </row>
    <row r="55" spans="1:5" x14ac:dyDescent="0.2">
      <c r="A55" t="s">
        <v>80</v>
      </c>
      <c r="B55">
        <v>14</v>
      </c>
      <c r="C55" t="s">
        <v>9</v>
      </c>
      <c r="D55">
        <v>0</v>
      </c>
      <c r="E55">
        <v>0</v>
      </c>
    </row>
    <row r="56" spans="1:5" x14ac:dyDescent="0.2">
      <c r="A56" t="s">
        <v>82</v>
      </c>
      <c r="B56">
        <v>14</v>
      </c>
      <c r="C56" t="s">
        <v>9</v>
      </c>
      <c r="D56">
        <v>10</v>
      </c>
      <c r="E56">
        <v>10</v>
      </c>
    </row>
    <row r="57" spans="1:5" x14ac:dyDescent="0.2">
      <c r="A57" t="s">
        <v>83</v>
      </c>
      <c r="B57">
        <v>14</v>
      </c>
      <c r="C57" t="s">
        <v>9</v>
      </c>
      <c r="D57">
        <v>8</v>
      </c>
      <c r="E57">
        <v>8</v>
      </c>
    </row>
    <row r="58" spans="1:5" x14ac:dyDescent="0.2">
      <c r="A58" t="s">
        <v>84</v>
      </c>
      <c r="B58">
        <v>14</v>
      </c>
      <c r="C58" t="s">
        <v>9</v>
      </c>
      <c r="D58">
        <v>300</v>
      </c>
      <c r="E58">
        <v>300</v>
      </c>
    </row>
    <row r="59" spans="1:5" x14ac:dyDescent="0.2">
      <c r="A59" t="s">
        <v>85</v>
      </c>
      <c r="B59">
        <v>14</v>
      </c>
      <c r="C59" t="s">
        <v>9</v>
      </c>
      <c r="D59">
        <v>600</v>
      </c>
      <c r="E59">
        <v>600</v>
      </c>
    </row>
    <row r="60" spans="1:5" x14ac:dyDescent="0.2">
      <c r="A60" t="s">
        <v>86</v>
      </c>
      <c r="B60">
        <v>14</v>
      </c>
      <c r="C60" t="s">
        <v>9</v>
      </c>
      <c r="D60">
        <v>0</v>
      </c>
      <c r="E60">
        <v>0</v>
      </c>
    </row>
    <row r="61" spans="1:5" x14ac:dyDescent="0.2">
      <c r="A61" t="s">
        <v>87</v>
      </c>
      <c r="B61">
        <v>14</v>
      </c>
      <c r="C61" t="s">
        <v>9</v>
      </c>
      <c r="D61" t="b">
        <v>1</v>
      </c>
      <c r="E61" t="b">
        <v>1</v>
      </c>
    </row>
    <row r="62" spans="1:5" x14ac:dyDescent="0.2">
      <c r="A62" t="s">
        <v>88</v>
      </c>
      <c r="B62">
        <v>14</v>
      </c>
      <c r="C62" t="s">
        <v>9</v>
      </c>
      <c r="D62">
        <v>91</v>
      </c>
      <c r="E62">
        <v>91</v>
      </c>
    </row>
    <row r="63" spans="1:5" x14ac:dyDescent="0.2">
      <c r="A63" t="s">
        <v>89</v>
      </c>
      <c r="B63">
        <v>15</v>
      </c>
      <c r="C63" t="s">
        <v>9</v>
      </c>
      <c r="D63">
        <v>1004</v>
      </c>
      <c r="E63">
        <v>1004</v>
      </c>
    </row>
    <row r="64" spans="1:5" x14ac:dyDescent="0.2">
      <c r="A64" t="s">
        <v>90</v>
      </c>
      <c r="B64">
        <v>15</v>
      </c>
      <c r="C64" t="s">
        <v>9</v>
      </c>
      <c r="D64" t="b">
        <v>1</v>
      </c>
      <c r="E64" t="b">
        <v>1</v>
      </c>
    </row>
    <row r="65" spans="1:5" x14ac:dyDescent="0.2">
      <c r="A65" t="s">
        <v>91</v>
      </c>
      <c r="B65">
        <v>15</v>
      </c>
      <c r="C65" t="s">
        <v>9</v>
      </c>
      <c r="D65">
        <v>100</v>
      </c>
      <c r="E65">
        <v>100</v>
      </c>
    </row>
    <row r="66" spans="1:5" x14ac:dyDescent="0.2">
      <c r="A66" t="s">
        <v>92</v>
      </c>
      <c r="B66">
        <v>15</v>
      </c>
      <c r="C66" t="s">
        <v>9</v>
      </c>
      <c r="D66">
        <v>120</v>
      </c>
      <c r="E66">
        <v>120</v>
      </c>
    </row>
    <row r="67" spans="1:5" x14ac:dyDescent="0.2">
      <c r="A67" t="s">
        <v>93</v>
      </c>
      <c r="B67">
        <v>15</v>
      </c>
      <c r="C67" t="s">
        <v>9</v>
      </c>
      <c r="D67">
        <v>30</v>
      </c>
      <c r="E67">
        <v>30</v>
      </c>
    </row>
    <row r="68" spans="1:5" x14ac:dyDescent="0.2">
      <c r="A68" t="s">
        <v>94</v>
      </c>
      <c r="B68">
        <v>15</v>
      </c>
      <c r="C68" t="s">
        <v>9</v>
      </c>
      <c r="D68" t="e">
        <f>A2*B2</f>
        <v>#VALUE!</v>
      </c>
      <c r="E68" t="e">
        <f>A2*B2</f>
        <v>#VALUE!</v>
      </c>
    </row>
    <row r="69" spans="1:5" x14ac:dyDescent="0.2">
      <c r="A69" t="s">
        <v>95</v>
      </c>
      <c r="B69">
        <v>15</v>
      </c>
      <c r="C69" t="s">
        <v>9</v>
      </c>
      <c r="D69">
        <v>40</v>
      </c>
      <c r="E69">
        <v>40</v>
      </c>
    </row>
    <row r="70" spans="1:5" x14ac:dyDescent="0.2">
      <c r="A70" t="s">
        <v>96</v>
      </c>
      <c r="B70">
        <v>15</v>
      </c>
      <c r="C70" t="s">
        <v>9</v>
      </c>
      <c r="D70">
        <v>1</v>
      </c>
      <c r="E70">
        <v>1</v>
      </c>
    </row>
    <row r="71" spans="1:5" x14ac:dyDescent="0.2">
      <c r="A71" t="s">
        <v>97</v>
      </c>
      <c r="B71">
        <v>15</v>
      </c>
      <c r="C71" t="s">
        <v>9</v>
      </c>
      <c r="D71">
        <v>1</v>
      </c>
      <c r="E71">
        <v>1</v>
      </c>
    </row>
    <row r="72" spans="1:5" x14ac:dyDescent="0.2">
      <c r="A72" t="s">
        <v>98</v>
      </c>
      <c r="B72">
        <v>15</v>
      </c>
      <c r="C72" t="s">
        <v>9</v>
      </c>
      <c r="D72" t="s">
        <v>99</v>
      </c>
      <c r="E72" t="s">
        <v>99</v>
      </c>
    </row>
    <row r="73" spans="1:5" x14ac:dyDescent="0.2">
      <c r="A73" t="s">
        <v>100</v>
      </c>
      <c r="B73">
        <v>16</v>
      </c>
      <c r="C73" t="s">
        <v>9</v>
      </c>
      <c r="D73">
        <v>11</v>
      </c>
      <c r="E73">
        <v>11</v>
      </c>
    </row>
    <row r="74" spans="1:5" x14ac:dyDescent="0.2">
      <c r="A74" t="s">
        <v>101</v>
      </c>
      <c r="B74">
        <v>16</v>
      </c>
      <c r="C74" t="s">
        <v>9</v>
      </c>
      <c r="D74">
        <v>13</v>
      </c>
      <c r="E74">
        <v>13</v>
      </c>
    </row>
    <row r="75" spans="1:5" x14ac:dyDescent="0.2">
      <c r="A75" t="s">
        <v>102</v>
      </c>
      <c r="B75">
        <v>16</v>
      </c>
      <c r="C75" t="s">
        <v>9</v>
      </c>
      <c r="D75">
        <v>0</v>
      </c>
      <c r="E75">
        <v>0</v>
      </c>
    </row>
    <row r="76" spans="1:5" x14ac:dyDescent="0.2">
      <c r="A76" t="s">
        <v>103</v>
      </c>
      <c r="B76">
        <v>16</v>
      </c>
      <c r="C76" t="s">
        <v>9</v>
      </c>
      <c r="D76">
        <v>11</v>
      </c>
      <c r="E76">
        <v>11</v>
      </c>
    </row>
    <row r="77" spans="1:5" x14ac:dyDescent="0.2">
      <c r="A77" t="s">
        <v>104</v>
      </c>
      <c r="B77">
        <v>16</v>
      </c>
      <c r="C77" t="s">
        <v>9</v>
      </c>
      <c r="D77">
        <v>1004</v>
      </c>
      <c r="E77">
        <v>1004</v>
      </c>
    </row>
    <row r="78" spans="1:5" x14ac:dyDescent="0.2">
      <c r="A78" t="s">
        <v>106</v>
      </c>
      <c r="B78">
        <v>16</v>
      </c>
      <c r="C78" t="s">
        <v>9</v>
      </c>
      <c r="D78" t="s">
        <v>105</v>
      </c>
      <c r="E78" t="s">
        <v>105</v>
      </c>
    </row>
    <row r="79" spans="1:5" x14ac:dyDescent="0.2">
      <c r="A79" t="s">
        <v>107</v>
      </c>
      <c r="B79">
        <v>16</v>
      </c>
      <c r="C79" t="s">
        <v>9</v>
      </c>
      <c r="D79" t="b">
        <v>1</v>
      </c>
      <c r="E79" t="b">
        <v>1</v>
      </c>
    </row>
    <row r="80" spans="1:5" x14ac:dyDescent="0.2">
      <c r="A80" t="s">
        <v>110</v>
      </c>
      <c r="B80">
        <v>17</v>
      </c>
      <c r="C80" t="s">
        <v>9</v>
      </c>
      <c r="D80">
        <v>99</v>
      </c>
      <c r="E80">
        <v>99</v>
      </c>
    </row>
    <row r="81" spans="1:5" x14ac:dyDescent="0.2">
      <c r="A81" t="s">
        <v>111</v>
      </c>
      <c r="B81">
        <v>17</v>
      </c>
      <c r="C81" t="s">
        <v>9</v>
      </c>
      <c r="D81">
        <v>99</v>
      </c>
      <c r="E81">
        <v>99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349D25-B197-5C41-9935-A516C743E447}">
  <sheetPr codeName="Sheet1"/>
  <dimension ref="A1:C1"/>
  <sheetViews>
    <sheetView workbookViewId="0"/>
  </sheetViews>
  <sheetFormatPr baseColWidth="10" defaultRowHeight="16" x14ac:dyDescent="0.2"/>
  <sheetData>
    <row r="1" spans="1:3" x14ac:dyDescent="0.2">
      <c r="A1" t="s">
        <v>0</v>
      </c>
      <c r="B1">
        <v>16.111999999999998</v>
      </c>
      <c r="C1">
        <v>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Datos</vt:lpstr>
      <vt:lpstr>Resumen17</vt:lpstr>
      <vt:lpstr>Datos17</vt:lpstr>
      <vt:lpstr>Hoja1</vt:lpstr>
      <vt:lpstr>VBAResults</vt:lpstr>
      <vt:lpstr>Sheet1</vt:lpstr>
      <vt:lpstr>Datos!Criteria</vt:lpstr>
      <vt:lpstr>TasaAnual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 Escobar Castillejos</dc:creator>
  <cp:lastModifiedBy>David Escobar Castillejos</cp:lastModifiedBy>
  <dcterms:created xsi:type="dcterms:W3CDTF">2026-10-13T18:15:15Z</dcterms:created>
  <dcterms:modified xsi:type="dcterms:W3CDTF">2026-10-13T19:20:02Z</dcterms:modified>
</cp:coreProperties>
</file>