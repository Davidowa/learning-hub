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vid\Downloads\"/>
    </mc:Choice>
  </mc:AlternateContent>
  <xr:revisionPtr revIDLastSave="0" documentId="13_ncr:1_{08AFED17-E8C3-4EBC-B3C1-36B256DC46E0}" xr6:coauthVersionLast="47" xr6:coauthVersionMax="47" xr10:uidLastSave="{00000000-0000-0000-0000-000000000000}"/>
  <bookViews>
    <workbookView xWindow="-120" yWindow="-120" windowWidth="29040" windowHeight="15720" activeTab="1" xr2:uid="{B77FC5DB-6CEB-4690-9058-EECF1E43E3B3}"/>
  </bookViews>
  <sheets>
    <sheet name="Concept" sheetId="1" r:id="rId1"/>
    <sheet name="Example" sheetId="2" r:id="rId2"/>
  </sheets>
  <definedNames>
    <definedName name="Final_Ending_Balance">Example!$DQ$14</definedName>
    <definedName name="Initial_Loan_Value">Example!$B$1</definedName>
    <definedName name="Interest_Rate__Monthly">Example!$B$3</definedName>
    <definedName name="Interest_Rate__Year">Example!$B$2</definedName>
    <definedName name="Period_Number__Months">Example!$B$4</definedName>
    <definedName name="Principal_Amount">Example!$B$5</definedName>
    <definedName name="Total_Payment__Monthly">Example!$B$6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D13" i="2" l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C13" i="2"/>
  <c r="B13" i="2"/>
  <c r="C10" i="2"/>
  <c r="D10" i="2" s="1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BE10" i="2" s="1"/>
  <c r="BF10" i="2" s="1"/>
  <c r="BG10" i="2" s="1"/>
  <c r="BH10" i="2" s="1"/>
  <c r="BI10" i="2" s="1"/>
  <c r="BJ10" i="2" s="1"/>
  <c r="BK10" i="2" s="1"/>
  <c r="BL10" i="2" s="1"/>
  <c r="BM10" i="2" s="1"/>
  <c r="BN10" i="2" s="1"/>
  <c r="BO10" i="2" s="1"/>
  <c r="BP10" i="2" s="1"/>
  <c r="BQ10" i="2" s="1"/>
  <c r="BR10" i="2" s="1"/>
  <c r="BS10" i="2" s="1"/>
  <c r="BT10" i="2" s="1"/>
  <c r="BU10" i="2" s="1"/>
  <c r="BV10" i="2" s="1"/>
  <c r="BW10" i="2" s="1"/>
  <c r="BX10" i="2" s="1"/>
  <c r="BY10" i="2" s="1"/>
  <c r="BZ10" i="2" s="1"/>
  <c r="CA10" i="2" s="1"/>
  <c r="CB10" i="2" s="1"/>
  <c r="CC10" i="2" s="1"/>
  <c r="CD10" i="2" s="1"/>
  <c r="CE10" i="2" s="1"/>
  <c r="CF10" i="2" s="1"/>
  <c r="CG10" i="2" s="1"/>
  <c r="CH10" i="2" s="1"/>
  <c r="CI10" i="2" s="1"/>
  <c r="CJ10" i="2" s="1"/>
  <c r="CK10" i="2" s="1"/>
  <c r="CL10" i="2" s="1"/>
  <c r="CM10" i="2" s="1"/>
  <c r="CN10" i="2" s="1"/>
  <c r="CO10" i="2" s="1"/>
  <c r="CP10" i="2" s="1"/>
  <c r="CQ10" i="2" s="1"/>
  <c r="CR10" i="2" s="1"/>
  <c r="CS10" i="2" s="1"/>
  <c r="CT10" i="2" s="1"/>
  <c r="CU10" i="2" s="1"/>
  <c r="CV10" i="2" s="1"/>
  <c r="CW10" i="2" s="1"/>
  <c r="CX10" i="2" s="1"/>
  <c r="CY10" i="2" s="1"/>
  <c r="CZ10" i="2" s="1"/>
  <c r="DA10" i="2" s="1"/>
  <c r="DB10" i="2" s="1"/>
  <c r="DC10" i="2" s="1"/>
  <c r="DD10" i="2" s="1"/>
  <c r="DE10" i="2" s="1"/>
  <c r="DF10" i="2" s="1"/>
  <c r="DG10" i="2" s="1"/>
  <c r="DH10" i="2" s="1"/>
  <c r="DI10" i="2" s="1"/>
  <c r="DJ10" i="2" s="1"/>
  <c r="DK10" i="2" s="1"/>
  <c r="DL10" i="2" s="1"/>
  <c r="DM10" i="2" s="1"/>
  <c r="DN10" i="2" s="1"/>
  <c r="DO10" i="2" s="1"/>
  <c r="DP10" i="2" s="1"/>
  <c r="DQ10" i="2" s="1"/>
  <c r="B11" i="2"/>
  <c r="B12" i="2" s="1"/>
  <c r="B14" i="2" l="1"/>
  <c r="C11" i="2" s="1"/>
  <c r="C12" i="2" s="1"/>
  <c r="C14" i="2" s="1"/>
  <c r="D11" i="2" s="1"/>
  <c r="D12" i="2" l="1"/>
  <c r="D14" i="2" s="1"/>
  <c r="E11" i="2" s="1"/>
  <c r="E12" i="2" s="1"/>
  <c r="E14" i="2" s="1"/>
  <c r="F11" i="2" s="1"/>
  <c r="F12" i="2" l="1"/>
  <c r="F14" i="2" s="1"/>
  <c r="G11" i="2" s="1"/>
  <c r="G12" i="2" l="1"/>
  <c r="G14" i="2" s="1"/>
  <c r="H11" i="2" s="1"/>
  <c r="H12" i="2" l="1"/>
  <c r="H14" i="2" s="1"/>
  <c r="I11" i="2" s="1"/>
  <c r="I12" i="2" l="1"/>
  <c r="I14" i="2" s="1"/>
  <c r="J11" i="2" s="1"/>
  <c r="J12" i="2" l="1"/>
  <c r="J14" i="2" s="1"/>
  <c r="K11" i="2" s="1"/>
  <c r="K12" i="2" l="1"/>
  <c r="K14" i="2" s="1"/>
  <c r="L11" i="2" s="1"/>
  <c r="L12" i="2" l="1"/>
  <c r="L14" i="2" s="1"/>
  <c r="M11" i="2" s="1"/>
  <c r="M12" i="2" l="1"/>
  <c r="M14" i="2" s="1"/>
  <c r="N11" i="2" s="1"/>
  <c r="N12" i="2" l="1"/>
  <c r="N14" i="2" s="1"/>
  <c r="O11" i="2" s="1"/>
  <c r="O12" i="2" l="1"/>
  <c r="O14" i="2" s="1"/>
  <c r="P11" i="2" s="1"/>
  <c r="P12" i="2" l="1"/>
  <c r="P14" i="2" s="1"/>
  <c r="Q11" i="2" s="1"/>
  <c r="Q12" i="2" l="1"/>
  <c r="Q14" i="2" s="1"/>
  <c r="R11" i="2" s="1"/>
  <c r="R12" i="2" l="1"/>
  <c r="R14" i="2" s="1"/>
  <c r="S11" i="2" s="1"/>
  <c r="S12" i="2" l="1"/>
  <c r="S14" i="2" s="1"/>
  <c r="T11" i="2" s="1"/>
  <c r="T12" i="2" l="1"/>
  <c r="T14" i="2" s="1"/>
  <c r="U11" i="2" s="1"/>
  <c r="U12" i="2" l="1"/>
  <c r="U14" i="2" s="1"/>
  <c r="V11" i="2" s="1"/>
  <c r="V12" i="2" l="1"/>
  <c r="V14" i="2" s="1"/>
  <c r="W11" i="2" s="1"/>
  <c r="W12" i="2" l="1"/>
  <c r="W14" i="2" s="1"/>
  <c r="X11" i="2" s="1"/>
  <c r="X12" i="2" l="1"/>
  <c r="X14" i="2" s="1"/>
  <c r="Y11" i="2" s="1"/>
  <c r="Y12" i="2" l="1"/>
  <c r="Y14" i="2" s="1"/>
  <c r="Z11" i="2" s="1"/>
  <c r="Z12" i="2" l="1"/>
  <c r="Z14" i="2" s="1"/>
  <c r="AA11" i="2" s="1"/>
  <c r="AA12" i="2" l="1"/>
  <c r="AA14" i="2" s="1"/>
  <c r="AB11" i="2" s="1"/>
  <c r="AB12" i="2" l="1"/>
  <c r="AB14" i="2" s="1"/>
  <c r="AC11" i="2" s="1"/>
  <c r="AC12" i="2" l="1"/>
  <c r="AC14" i="2" s="1"/>
  <c r="AD11" i="2" s="1"/>
  <c r="AD12" i="2" l="1"/>
  <c r="AD14" i="2" s="1"/>
  <c r="AE11" i="2" s="1"/>
  <c r="AE12" i="2" l="1"/>
  <c r="AE14" i="2" s="1"/>
  <c r="AF11" i="2" s="1"/>
  <c r="AF12" i="2" l="1"/>
  <c r="AF14" i="2" s="1"/>
  <c r="AG11" i="2" s="1"/>
  <c r="AG12" i="2" l="1"/>
  <c r="AG14" i="2" s="1"/>
  <c r="AH11" i="2" s="1"/>
  <c r="AH12" i="2" l="1"/>
  <c r="AH14" i="2" s="1"/>
  <c r="AI11" i="2" s="1"/>
  <c r="AI12" i="2" l="1"/>
  <c r="AI14" i="2" s="1"/>
  <c r="AJ11" i="2" s="1"/>
  <c r="AJ12" i="2" l="1"/>
  <c r="AJ14" i="2" s="1"/>
  <c r="AK11" i="2" s="1"/>
  <c r="AK12" i="2" l="1"/>
  <c r="AK14" i="2" s="1"/>
  <c r="AL11" i="2" s="1"/>
  <c r="AL12" i="2" l="1"/>
  <c r="AL14" i="2" s="1"/>
  <c r="AM11" i="2" s="1"/>
  <c r="AM12" i="2" l="1"/>
  <c r="AM14" i="2" s="1"/>
  <c r="AN11" i="2" s="1"/>
  <c r="AN12" i="2" l="1"/>
  <c r="AN14" i="2" s="1"/>
  <c r="AO11" i="2" s="1"/>
  <c r="AO12" i="2" l="1"/>
  <c r="AO14" i="2" s="1"/>
  <c r="AP11" i="2" s="1"/>
  <c r="AP12" i="2" l="1"/>
  <c r="AP14" i="2" s="1"/>
  <c r="AQ11" i="2" s="1"/>
  <c r="AQ12" i="2" l="1"/>
  <c r="AQ14" i="2" s="1"/>
  <c r="AR11" i="2" s="1"/>
  <c r="AR12" i="2" l="1"/>
  <c r="AR14" i="2" s="1"/>
  <c r="AS11" i="2" s="1"/>
  <c r="AS12" i="2" l="1"/>
  <c r="AS14" i="2" s="1"/>
  <c r="AT11" i="2" s="1"/>
  <c r="AT12" i="2" l="1"/>
  <c r="AT14" i="2" s="1"/>
  <c r="AU11" i="2" s="1"/>
  <c r="AU12" i="2" l="1"/>
  <c r="AU14" i="2" s="1"/>
  <c r="AV11" i="2" s="1"/>
  <c r="AV12" i="2" l="1"/>
  <c r="AV14" i="2" s="1"/>
  <c r="AW11" i="2" s="1"/>
  <c r="AW12" i="2" l="1"/>
  <c r="AW14" i="2" s="1"/>
  <c r="AX11" i="2" s="1"/>
  <c r="AX12" i="2" l="1"/>
  <c r="AX14" i="2" s="1"/>
  <c r="AY11" i="2" s="1"/>
  <c r="AY12" i="2" l="1"/>
  <c r="AY14" i="2" s="1"/>
  <c r="AZ11" i="2" s="1"/>
  <c r="AZ12" i="2" l="1"/>
  <c r="AZ14" i="2" s="1"/>
  <c r="BA11" i="2" s="1"/>
  <c r="BA12" i="2" l="1"/>
  <c r="BA14" i="2" s="1"/>
  <c r="BB11" i="2" s="1"/>
  <c r="BB12" i="2" l="1"/>
  <c r="BB14" i="2" s="1"/>
  <c r="BC11" i="2" s="1"/>
  <c r="BC12" i="2" l="1"/>
  <c r="BC14" i="2" s="1"/>
  <c r="BD11" i="2" s="1"/>
  <c r="BD12" i="2" l="1"/>
  <c r="BD14" i="2" s="1"/>
  <c r="BE11" i="2" s="1"/>
  <c r="BE12" i="2" l="1"/>
  <c r="BE14" i="2" s="1"/>
  <c r="BF11" i="2" s="1"/>
  <c r="BF12" i="2" l="1"/>
  <c r="BF14" i="2" s="1"/>
  <c r="BG11" i="2" s="1"/>
  <c r="BG12" i="2" l="1"/>
  <c r="BG14" i="2" s="1"/>
  <c r="BH11" i="2" s="1"/>
  <c r="BH12" i="2" l="1"/>
  <c r="BH14" i="2" s="1"/>
  <c r="BI11" i="2" s="1"/>
  <c r="BI12" i="2" l="1"/>
  <c r="BI14" i="2" s="1"/>
  <c r="BJ11" i="2" s="1"/>
  <c r="BJ12" i="2" l="1"/>
  <c r="BJ14" i="2" s="1"/>
  <c r="BK11" i="2" s="1"/>
  <c r="BK12" i="2" l="1"/>
  <c r="BK14" i="2" s="1"/>
  <c r="BL11" i="2" s="1"/>
  <c r="BL12" i="2" l="1"/>
  <c r="BL14" i="2" s="1"/>
  <c r="BM11" i="2" s="1"/>
  <c r="BM12" i="2" l="1"/>
  <c r="BM14" i="2" s="1"/>
  <c r="BN11" i="2" s="1"/>
  <c r="BN12" i="2" l="1"/>
  <c r="BN14" i="2" s="1"/>
  <c r="BO11" i="2" s="1"/>
  <c r="BO12" i="2" l="1"/>
  <c r="BO14" i="2" s="1"/>
  <c r="BP11" i="2" s="1"/>
  <c r="BP12" i="2" l="1"/>
  <c r="BP14" i="2" s="1"/>
  <c r="BQ11" i="2" s="1"/>
  <c r="BQ12" i="2" l="1"/>
  <c r="BQ14" i="2" s="1"/>
  <c r="BR11" i="2" s="1"/>
  <c r="BR12" i="2" l="1"/>
  <c r="BR14" i="2" s="1"/>
  <c r="BS11" i="2" s="1"/>
  <c r="BS12" i="2" l="1"/>
  <c r="BS14" i="2" s="1"/>
  <c r="BT11" i="2" s="1"/>
  <c r="BT12" i="2" l="1"/>
  <c r="BT14" i="2" s="1"/>
  <c r="BU11" i="2" s="1"/>
  <c r="BU12" i="2" l="1"/>
  <c r="BU14" i="2" s="1"/>
  <c r="BV11" i="2" s="1"/>
  <c r="BV12" i="2" l="1"/>
  <c r="BV14" i="2" s="1"/>
  <c r="BW11" i="2" s="1"/>
  <c r="BW12" i="2" l="1"/>
  <c r="BW14" i="2" s="1"/>
  <c r="BX11" i="2" s="1"/>
  <c r="BX12" i="2" l="1"/>
  <c r="BX14" i="2" s="1"/>
  <c r="BY11" i="2" s="1"/>
  <c r="BY12" i="2" l="1"/>
  <c r="BY14" i="2" s="1"/>
  <c r="BZ11" i="2" s="1"/>
  <c r="BZ12" i="2" l="1"/>
  <c r="BZ14" i="2" s="1"/>
  <c r="CA11" i="2" s="1"/>
  <c r="CA12" i="2" l="1"/>
  <c r="CA14" i="2" s="1"/>
  <c r="CB11" i="2" s="1"/>
  <c r="CB12" i="2" l="1"/>
  <c r="CB14" i="2" s="1"/>
  <c r="CC11" i="2" s="1"/>
  <c r="CC12" i="2" l="1"/>
  <c r="CC14" i="2" s="1"/>
  <c r="CD11" i="2" s="1"/>
  <c r="CD12" i="2" l="1"/>
  <c r="CD14" i="2" s="1"/>
  <c r="CE11" i="2" s="1"/>
  <c r="CE12" i="2" l="1"/>
  <c r="CE14" i="2" s="1"/>
  <c r="CF11" i="2" s="1"/>
  <c r="CF12" i="2" l="1"/>
  <c r="CF14" i="2" s="1"/>
  <c r="CG11" i="2" s="1"/>
  <c r="CG12" i="2" l="1"/>
  <c r="CG14" i="2" s="1"/>
  <c r="CH11" i="2" s="1"/>
  <c r="CH12" i="2" l="1"/>
  <c r="CH14" i="2" s="1"/>
  <c r="CI11" i="2" s="1"/>
  <c r="CI12" i="2" l="1"/>
  <c r="CI14" i="2" s="1"/>
  <c r="CJ11" i="2" s="1"/>
  <c r="CJ12" i="2" l="1"/>
  <c r="CJ14" i="2" s="1"/>
  <c r="CK11" i="2" s="1"/>
  <c r="CK12" i="2" l="1"/>
  <c r="CK14" i="2" s="1"/>
  <c r="CL11" i="2" s="1"/>
  <c r="CL12" i="2" l="1"/>
  <c r="CL14" i="2" s="1"/>
  <c r="CM11" i="2" s="1"/>
  <c r="CM12" i="2" l="1"/>
  <c r="CM14" i="2" s="1"/>
  <c r="CN11" i="2" s="1"/>
  <c r="CN12" i="2" l="1"/>
  <c r="CN14" i="2" s="1"/>
  <c r="CO11" i="2" s="1"/>
  <c r="CO12" i="2" l="1"/>
  <c r="CO14" i="2" s="1"/>
  <c r="CP11" i="2" s="1"/>
  <c r="CP12" i="2" l="1"/>
  <c r="CP14" i="2" s="1"/>
  <c r="CQ11" i="2" s="1"/>
  <c r="CQ12" i="2" l="1"/>
  <c r="CQ14" i="2" s="1"/>
  <c r="CR11" i="2" s="1"/>
  <c r="CR12" i="2" l="1"/>
  <c r="CR14" i="2" s="1"/>
  <c r="CS11" i="2" s="1"/>
  <c r="CS12" i="2" l="1"/>
  <c r="CS14" i="2" s="1"/>
  <c r="CT11" i="2" s="1"/>
  <c r="CT12" i="2" l="1"/>
  <c r="CT14" i="2" s="1"/>
  <c r="CU11" i="2" s="1"/>
  <c r="CU12" i="2" l="1"/>
  <c r="CU14" i="2" s="1"/>
  <c r="CV11" i="2" s="1"/>
  <c r="CV12" i="2" l="1"/>
  <c r="CV14" i="2" s="1"/>
  <c r="CW11" i="2" s="1"/>
  <c r="CW12" i="2" l="1"/>
  <c r="CW14" i="2" s="1"/>
  <c r="CX11" i="2" s="1"/>
  <c r="CX12" i="2" l="1"/>
  <c r="CX14" i="2" s="1"/>
  <c r="CY11" i="2" s="1"/>
  <c r="CY12" i="2" l="1"/>
  <c r="CY14" i="2" s="1"/>
  <c r="CZ11" i="2" s="1"/>
  <c r="CZ12" i="2" l="1"/>
  <c r="CZ14" i="2" s="1"/>
  <c r="DA11" i="2" s="1"/>
  <c r="DA12" i="2" l="1"/>
  <c r="DA14" i="2" s="1"/>
  <c r="DB11" i="2" s="1"/>
  <c r="DB12" i="2" l="1"/>
  <c r="DB14" i="2" s="1"/>
  <c r="DC11" i="2" s="1"/>
  <c r="DC12" i="2" l="1"/>
  <c r="DC14" i="2" s="1"/>
  <c r="DD11" i="2" s="1"/>
  <c r="DD12" i="2" l="1"/>
  <c r="DD14" i="2" s="1"/>
  <c r="DE11" i="2" s="1"/>
  <c r="DE12" i="2" l="1"/>
  <c r="DE14" i="2" s="1"/>
  <c r="DF11" i="2" s="1"/>
  <c r="DF12" i="2" l="1"/>
  <c r="DF14" i="2" s="1"/>
  <c r="DG11" i="2" s="1"/>
  <c r="DG12" i="2" l="1"/>
  <c r="DG14" i="2" s="1"/>
  <c r="DH11" i="2" s="1"/>
  <c r="DH12" i="2" l="1"/>
  <c r="DH14" i="2" s="1"/>
  <c r="DI11" i="2" s="1"/>
  <c r="DI12" i="2" l="1"/>
  <c r="DI14" i="2" s="1"/>
  <c r="DJ11" i="2" s="1"/>
  <c r="DJ12" i="2" l="1"/>
  <c r="DJ14" i="2" s="1"/>
  <c r="DK11" i="2" s="1"/>
  <c r="DK12" i="2" l="1"/>
  <c r="DK14" i="2" s="1"/>
  <c r="DL11" i="2" s="1"/>
  <c r="DL12" i="2" l="1"/>
  <c r="DL14" i="2" s="1"/>
  <c r="DM11" i="2" s="1"/>
  <c r="DM12" i="2" l="1"/>
  <c r="DM14" i="2" s="1"/>
  <c r="DN11" i="2" s="1"/>
  <c r="DN12" i="2" l="1"/>
  <c r="DN14" i="2" s="1"/>
  <c r="DO11" i="2" s="1"/>
  <c r="DO12" i="2" l="1"/>
  <c r="DO14" i="2" s="1"/>
  <c r="DP11" i="2" s="1"/>
  <c r="DP12" i="2" l="1"/>
  <c r="DP14" i="2" s="1"/>
  <c r="DQ11" i="2" s="1"/>
  <c r="DQ12" i="2" l="1"/>
  <c r="DQ14" i="2" s="1"/>
  <c r="B6" i="2" s="1"/>
</calcChain>
</file>

<file path=xl/sharedStrings.xml><?xml version="1.0" encoding="utf-8"?>
<sst xmlns="http://schemas.openxmlformats.org/spreadsheetml/2006/main" count="28" uniqueCount="27">
  <si>
    <t>Amortization table</t>
  </si>
  <si>
    <t>Definition</t>
  </si>
  <si>
    <t>• It is the process of spreading out loan payments over time.</t>
  </si>
  <si>
    <t>Concepts</t>
  </si>
  <si>
    <t>• Period Number: Each row represents a specific period (usually months) in the loan term.</t>
  </si>
  <si>
    <t>• Beginning Balance: The debt amount at the start of the period.</t>
  </si>
  <si>
    <t>• Payment Amount: Total amount paid in each period.</t>
  </si>
  <si>
    <t>• Interest Amount: Part of the payment that goes towards interest, calculated on the beginning balance.</t>
  </si>
  <si>
    <t>• Principal Amount: Part of the payment that reduces the loan's principal balance, calculated as Payment Amount - Interest Amount.</t>
  </si>
  <si>
    <t>• Ending Balance: Remaining debt after the current payment, calculated as Beginning Balance - Principal Amount.</t>
  </si>
  <si>
    <t>• Payments should cover both interest and principal amount to reduce debt over time.</t>
  </si>
  <si>
    <t>• Paying just the interest means the principal remains unchanged, leading to perpetual debt.</t>
  </si>
  <si>
    <t>Principal Amount</t>
  </si>
  <si>
    <t>• Initial Loan Value: This is the total amount borrowed at the beginning of the loan term.</t>
  </si>
  <si>
    <t>• Interest Rate: This is the percentage charged on the outstanding loan balance.</t>
  </si>
  <si>
    <t>Total Payment:</t>
  </si>
  <si>
    <t>Period Number (Months):</t>
  </si>
  <si>
    <t>Interest Rate (Monthly):</t>
  </si>
  <si>
    <t>Initial Loan Value:</t>
  </si>
  <si>
    <t>Interest Rate (Year):</t>
  </si>
  <si>
    <t>Period</t>
  </si>
  <si>
    <t>Beginning Balance</t>
  </si>
  <si>
    <t>Interest Amount</t>
  </si>
  <si>
    <t>• Total Payment: This is the amount you pay at the end of the loan.</t>
  </si>
  <si>
    <t>Ending Balance</t>
  </si>
  <si>
    <t>Payment Amount:</t>
  </si>
  <si>
    <t>Note: 120 is the maximum amount of periods in this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</si>
</sst>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2" borderId="3" applyNumberFormat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0" borderId="3" xfId="3" applyFont="1" applyFill="1"/>
    <xf numFmtId="164" fontId="7" fillId="0" borderId="3" xfId="3" applyNumberFormat="1" applyFont="1" applyFill="1"/>
    <xf numFmtId="0" fontId="7" fillId="0" borderId="3" xfId="3" applyNumberFormat="1" applyFont="1" applyFill="1"/>
    <xf numFmtId="10" fontId="7" fillId="0" borderId="3" xfId="3" applyNumberFormat="1" applyFont="1" applyFill="1"/>
    <xf numFmtId="0" fontId="1" fillId="0" borderId="1" xfId="1"/>
    <xf numFmtId="164" fontId="0" fillId="0" borderId="0" xfId="0" applyNumberFormat="1"/>
    <xf numFmtId="0" fontId="4" fillId="0" borderId="0" xfId="0" applyFont="1" applyAlignment="1">
      <alignment horizontal="left" wrapText="1"/>
    </xf>
    <xf numFmtId="0" fontId="6" fillId="0" borderId="1" xfId="1" applyFont="1" applyAlignment="1">
      <alignment horizontal="left"/>
    </xf>
    <xf numFmtId="0" fontId="5" fillId="0" borderId="2" xfId="2" applyFont="1" applyAlignment="1">
      <alignment horizontal="left"/>
    </xf>
    <xf numFmtId="0" fontId="4" fillId="0" borderId="0" xfId="0" applyFont="1" applyAlignment="1">
      <alignment horizontal="left"/>
    </xf>
  </cellXfs>
  <cellStyles count="4">
    <cellStyle name="Check Cell" xfId="3" builtinId="23"/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4308-9AA1-48C8-BE0E-647467C79590}">
  <dimension ref="A1:J18"/>
  <sheetViews>
    <sheetView workbookViewId="0">
      <selection activeCell="A7" sqref="A7:I7"/>
    </sheetView>
  </sheetViews>
  <sheetFormatPr defaultColWidth="9.140625" defaultRowHeight="15" x14ac:dyDescent="0.25"/>
  <cols>
    <col min="9" max="9" width="9.140625" customWidth="1"/>
  </cols>
  <sheetData>
    <row r="1" spans="1:10" ht="34.5" thickBot="1" x14ac:dyDescent="0.55000000000000004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10" ht="15.75" thickTop="1" x14ac:dyDescent="0.25"/>
    <row r="3" spans="1:10" ht="21.75" thickBot="1" x14ac:dyDescent="0.4">
      <c r="A3" s="11" t="s">
        <v>1</v>
      </c>
      <c r="B3" s="11"/>
      <c r="C3" s="11"/>
      <c r="D3" s="11"/>
      <c r="E3" s="11"/>
    </row>
    <row r="4" spans="1:10" ht="19.5" thickTop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2"/>
    </row>
    <row r="5" spans="1:10" ht="37.5" customHeight="1" x14ac:dyDescent="0.3">
      <c r="A5" s="9" t="s">
        <v>10</v>
      </c>
      <c r="B5" s="9"/>
      <c r="C5" s="9"/>
      <c r="D5" s="9"/>
      <c r="E5" s="9"/>
      <c r="F5" s="9"/>
      <c r="G5" s="9"/>
      <c r="H5" s="9"/>
      <c r="I5" s="9"/>
      <c r="J5" s="2"/>
    </row>
    <row r="6" spans="1:10" ht="18.75" x14ac:dyDescent="0.3">
      <c r="A6" s="9" t="s">
        <v>11</v>
      </c>
      <c r="B6" s="9"/>
      <c r="C6" s="9"/>
      <c r="D6" s="9"/>
      <c r="E6" s="9"/>
      <c r="F6" s="9"/>
      <c r="G6" s="9"/>
      <c r="H6" s="9"/>
      <c r="I6" s="9"/>
    </row>
    <row r="7" spans="1:10" ht="18.75" x14ac:dyDescent="0.3">
      <c r="A7" s="12" t="s">
        <v>26</v>
      </c>
      <c r="B7" s="12"/>
      <c r="C7" s="12"/>
      <c r="D7" s="12"/>
      <c r="E7" s="12"/>
      <c r="F7" s="12"/>
      <c r="G7" s="12"/>
      <c r="H7" s="12"/>
      <c r="I7" s="12"/>
    </row>
    <row r="9" spans="1:10" ht="21.75" thickBot="1" x14ac:dyDescent="0.4">
      <c r="A9" s="11" t="s">
        <v>3</v>
      </c>
      <c r="B9" s="11"/>
      <c r="C9" s="11"/>
      <c r="D9" s="11"/>
      <c r="E9" s="11"/>
    </row>
    <row r="10" spans="1:10" ht="38.25" customHeight="1" thickTop="1" x14ac:dyDescent="0.3">
      <c r="A10" s="9" t="s">
        <v>13</v>
      </c>
      <c r="B10" s="9"/>
      <c r="C10" s="9"/>
      <c r="D10" s="9"/>
      <c r="E10" s="9"/>
      <c r="F10" s="9"/>
      <c r="G10" s="9"/>
      <c r="H10" s="9"/>
      <c r="I10" s="9"/>
    </row>
    <row r="11" spans="1:10" ht="18.75" x14ac:dyDescent="0.3">
      <c r="A11" s="9" t="s">
        <v>14</v>
      </c>
      <c r="B11" s="9"/>
      <c r="C11" s="9"/>
      <c r="D11" s="9"/>
      <c r="E11" s="9"/>
      <c r="F11" s="9"/>
      <c r="G11" s="9"/>
      <c r="H11" s="9"/>
      <c r="I11" s="9"/>
    </row>
    <row r="12" spans="1:10" ht="35.25" customHeight="1" x14ac:dyDescent="0.3">
      <c r="A12" s="9" t="s">
        <v>4</v>
      </c>
      <c r="B12" s="9"/>
      <c r="C12" s="9"/>
      <c r="D12" s="9"/>
      <c r="E12" s="9"/>
      <c r="F12" s="9"/>
      <c r="G12" s="9"/>
      <c r="H12" s="9"/>
      <c r="I12" s="9"/>
    </row>
    <row r="13" spans="1:10" ht="18.75" x14ac:dyDescent="0.3">
      <c r="A13" s="9" t="s">
        <v>6</v>
      </c>
      <c r="B13" s="9"/>
      <c r="C13" s="9"/>
      <c r="D13" s="9"/>
      <c r="E13" s="9"/>
      <c r="F13" s="9"/>
      <c r="G13" s="9"/>
      <c r="H13" s="9"/>
      <c r="I13" s="9"/>
    </row>
    <row r="14" spans="1:10" ht="18.75" x14ac:dyDescent="0.3">
      <c r="A14" s="9" t="s">
        <v>23</v>
      </c>
      <c r="B14" s="9"/>
      <c r="C14" s="9"/>
      <c r="D14" s="9"/>
      <c r="E14" s="9"/>
      <c r="F14" s="9"/>
      <c r="G14" s="9"/>
      <c r="H14" s="9"/>
      <c r="I14" s="9"/>
    </row>
    <row r="15" spans="1:10" ht="18.75" x14ac:dyDescent="0.3">
      <c r="A15" s="9" t="s">
        <v>5</v>
      </c>
      <c r="B15" s="9"/>
      <c r="C15" s="9"/>
      <c r="D15" s="9"/>
      <c r="E15" s="9"/>
      <c r="F15" s="9"/>
      <c r="G15" s="9"/>
      <c r="H15" s="9"/>
      <c r="I15" s="9"/>
    </row>
    <row r="16" spans="1:10" ht="36.75" customHeight="1" x14ac:dyDescent="0.3">
      <c r="A16" s="9" t="s">
        <v>7</v>
      </c>
      <c r="B16" s="9"/>
      <c r="C16" s="9"/>
      <c r="D16" s="9"/>
      <c r="E16" s="9"/>
      <c r="F16" s="9"/>
      <c r="G16" s="9"/>
      <c r="H16" s="9"/>
      <c r="I16" s="9"/>
    </row>
    <row r="17" spans="1:9" ht="35.25" customHeight="1" x14ac:dyDescent="0.3">
      <c r="A17" s="9" t="s">
        <v>8</v>
      </c>
      <c r="B17" s="9"/>
      <c r="C17" s="9"/>
      <c r="D17" s="9"/>
      <c r="E17" s="9"/>
      <c r="F17" s="9"/>
      <c r="G17" s="9"/>
      <c r="H17" s="9"/>
      <c r="I17" s="9"/>
    </row>
    <row r="18" spans="1:9" ht="18.75" x14ac:dyDescent="0.3">
      <c r="A18" s="9" t="s">
        <v>9</v>
      </c>
      <c r="B18" s="9"/>
      <c r="C18" s="9"/>
      <c r="D18" s="9"/>
      <c r="E18" s="9"/>
      <c r="F18" s="9"/>
      <c r="G18" s="9"/>
      <c r="H18" s="9"/>
      <c r="I18" s="9"/>
    </row>
  </sheetData>
  <mergeCells count="16">
    <mergeCell ref="A16:I16"/>
    <mergeCell ref="A17:I17"/>
    <mergeCell ref="A18:I18"/>
    <mergeCell ref="A1:I1"/>
    <mergeCell ref="A3:E3"/>
    <mergeCell ref="A4:I4"/>
    <mergeCell ref="A5:I5"/>
    <mergeCell ref="A6:I6"/>
    <mergeCell ref="A9:E9"/>
    <mergeCell ref="A7:I7"/>
    <mergeCell ref="A10:I10"/>
    <mergeCell ref="A11:I11"/>
    <mergeCell ref="A14:I14"/>
    <mergeCell ref="A12:I12"/>
    <mergeCell ref="A15:I15"/>
    <mergeCell ref="A13:I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BE41-E210-412E-A238-51BDEDB8BE37}">
  <dimension ref="A1:DQ14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24.140625" bestFit="1" customWidth="1"/>
    <col min="2" max="2" width="18.140625" customWidth="1"/>
    <col min="3" max="121" width="12.7109375" customWidth="1"/>
  </cols>
  <sheetData>
    <row r="1" spans="1:121" ht="16.5" thickTop="1" thickBot="1" x14ac:dyDescent="0.3">
      <c r="A1" s="3" t="s">
        <v>18</v>
      </c>
      <c r="B1" s="4">
        <v>500000</v>
      </c>
    </row>
    <row r="2" spans="1:121" ht="16.5" thickTop="1" thickBot="1" x14ac:dyDescent="0.3">
      <c r="A2" s="3" t="s">
        <v>19</v>
      </c>
      <c r="B2" s="6">
        <v>0.15</v>
      </c>
    </row>
    <row r="3" spans="1:121" ht="16.5" thickTop="1" thickBot="1" x14ac:dyDescent="0.3">
      <c r="A3" s="3" t="s">
        <v>17</v>
      </c>
      <c r="B3" s="6">
        <f>((1+B2)^(1/12))-1</f>
        <v>1.171491691985338E-2</v>
      </c>
    </row>
    <row r="4" spans="1:121" ht="16.5" thickTop="1" thickBot="1" x14ac:dyDescent="0.3">
      <c r="A4" s="3" t="s">
        <v>16</v>
      </c>
      <c r="B4" s="5">
        <v>0</v>
      </c>
    </row>
    <row r="5" spans="1:121" ht="16.5" thickTop="1" thickBot="1" x14ac:dyDescent="0.3">
      <c r="A5" s="3" t="s">
        <v>25</v>
      </c>
      <c r="B5" s="4">
        <v>7780.7378616764263</v>
      </c>
    </row>
    <row r="6" spans="1:121" ht="16.5" thickTop="1" thickBot="1" x14ac:dyDescent="0.3">
      <c r="A6" s="3" t="s">
        <v>15</v>
      </c>
      <c r="B6" s="4">
        <f>Final_Ending_Balance</f>
        <v>-2.6830093702301383E-10</v>
      </c>
    </row>
    <row r="7" spans="1:121" ht="15.75" thickTop="1" x14ac:dyDescent="0.25"/>
    <row r="9" spans="1:121" ht="20.25" thickBot="1" x14ac:dyDescent="0.35">
      <c r="A9" s="7" t="s">
        <v>0</v>
      </c>
    </row>
    <row r="10" spans="1:121" ht="15.75" thickTop="1" x14ac:dyDescent="0.25">
      <c r="A10" t="s">
        <v>20</v>
      </c>
      <c r="B10" s="1">
        <v>1</v>
      </c>
      <c r="C10" s="1">
        <f>B10+1</f>
        <v>2</v>
      </c>
      <c r="D10" s="1">
        <f t="shared" ref="D10:BO10" si="0">C10+1</f>
        <v>3</v>
      </c>
      <c r="E10" s="1">
        <f t="shared" si="0"/>
        <v>4</v>
      </c>
      <c r="F10" s="1">
        <f t="shared" si="0"/>
        <v>5</v>
      </c>
      <c r="G10" s="1">
        <f t="shared" si="0"/>
        <v>6</v>
      </c>
      <c r="H10" s="1">
        <f t="shared" si="0"/>
        <v>7</v>
      </c>
      <c r="I10" s="1">
        <f t="shared" si="0"/>
        <v>8</v>
      </c>
      <c r="J10" s="1">
        <f t="shared" si="0"/>
        <v>9</v>
      </c>
      <c r="K10" s="1">
        <f t="shared" si="0"/>
        <v>10</v>
      </c>
      <c r="L10" s="1">
        <f t="shared" si="0"/>
        <v>11</v>
      </c>
      <c r="M10" s="1">
        <f t="shared" si="0"/>
        <v>12</v>
      </c>
      <c r="N10" s="1">
        <f t="shared" si="0"/>
        <v>13</v>
      </c>
      <c r="O10" s="1">
        <f t="shared" si="0"/>
        <v>14</v>
      </c>
      <c r="P10" s="1">
        <f t="shared" si="0"/>
        <v>15</v>
      </c>
      <c r="Q10" s="1">
        <f t="shared" si="0"/>
        <v>16</v>
      </c>
      <c r="R10" s="1">
        <f t="shared" si="0"/>
        <v>17</v>
      </c>
      <c r="S10" s="1">
        <f t="shared" si="0"/>
        <v>18</v>
      </c>
      <c r="T10" s="1">
        <f t="shared" si="0"/>
        <v>19</v>
      </c>
      <c r="U10" s="1">
        <f t="shared" si="0"/>
        <v>20</v>
      </c>
      <c r="V10" s="1">
        <f t="shared" si="0"/>
        <v>21</v>
      </c>
      <c r="W10" s="1">
        <f t="shared" si="0"/>
        <v>22</v>
      </c>
      <c r="X10" s="1">
        <f t="shared" si="0"/>
        <v>23</v>
      </c>
      <c r="Y10" s="1">
        <f t="shared" si="0"/>
        <v>24</v>
      </c>
      <c r="Z10" s="1">
        <f t="shared" si="0"/>
        <v>25</v>
      </c>
      <c r="AA10" s="1">
        <f t="shared" si="0"/>
        <v>26</v>
      </c>
      <c r="AB10" s="1">
        <f t="shared" si="0"/>
        <v>27</v>
      </c>
      <c r="AC10" s="1">
        <f t="shared" si="0"/>
        <v>28</v>
      </c>
      <c r="AD10" s="1">
        <f t="shared" si="0"/>
        <v>29</v>
      </c>
      <c r="AE10" s="1">
        <f t="shared" si="0"/>
        <v>30</v>
      </c>
      <c r="AF10" s="1">
        <f t="shared" si="0"/>
        <v>31</v>
      </c>
      <c r="AG10" s="1">
        <f t="shared" si="0"/>
        <v>32</v>
      </c>
      <c r="AH10" s="1">
        <f t="shared" si="0"/>
        <v>33</v>
      </c>
      <c r="AI10" s="1">
        <f t="shared" si="0"/>
        <v>34</v>
      </c>
      <c r="AJ10" s="1">
        <f t="shared" si="0"/>
        <v>35</v>
      </c>
      <c r="AK10" s="1">
        <f t="shared" si="0"/>
        <v>36</v>
      </c>
      <c r="AL10" s="1">
        <f t="shared" si="0"/>
        <v>37</v>
      </c>
      <c r="AM10" s="1">
        <f t="shared" si="0"/>
        <v>38</v>
      </c>
      <c r="AN10" s="1">
        <f t="shared" si="0"/>
        <v>39</v>
      </c>
      <c r="AO10" s="1">
        <f t="shared" si="0"/>
        <v>40</v>
      </c>
      <c r="AP10" s="1">
        <f t="shared" si="0"/>
        <v>41</v>
      </c>
      <c r="AQ10" s="1">
        <f t="shared" si="0"/>
        <v>42</v>
      </c>
      <c r="AR10" s="1">
        <f t="shared" si="0"/>
        <v>43</v>
      </c>
      <c r="AS10" s="1">
        <f t="shared" si="0"/>
        <v>44</v>
      </c>
      <c r="AT10" s="1">
        <f t="shared" si="0"/>
        <v>45</v>
      </c>
      <c r="AU10" s="1">
        <f t="shared" si="0"/>
        <v>46</v>
      </c>
      <c r="AV10" s="1">
        <f t="shared" si="0"/>
        <v>47</v>
      </c>
      <c r="AW10" s="1">
        <f t="shared" si="0"/>
        <v>48</v>
      </c>
      <c r="AX10" s="1">
        <f t="shared" si="0"/>
        <v>49</v>
      </c>
      <c r="AY10" s="1">
        <f t="shared" si="0"/>
        <v>50</v>
      </c>
      <c r="AZ10" s="1">
        <f t="shared" si="0"/>
        <v>51</v>
      </c>
      <c r="BA10" s="1">
        <f t="shared" si="0"/>
        <v>52</v>
      </c>
      <c r="BB10" s="1">
        <f t="shared" si="0"/>
        <v>53</v>
      </c>
      <c r="BC10" s="1">
        <f t="shared" si="0"/>
        <v>54</v>
      </c>
      <c r="BD10" s="1">
        <f t="shared" si="0"/>
        <v>55</v>
      </c>
      <c r="BE10" s="1">
        <f t="shared" si="0"/>
        <v>56</v>
      </c>
      <c r="BF10" s="1">
        <f t="shared" si="0"/>
        <v>57</v>
      </c>
      <c r="BG10" s="1">
        <f t="shared" si="0"/>
        <v>58</v>
      </c>
      <c r="BH10" s="1">
        <f t="shared" si="0"/>
        <v>59</v>
      </c>
      <c r="BI10" s="1">
        <f t="shared" si="0"/>
        <v>60</v>
      </c>
      <c r="BJ10" s="1">
        <f t="shared" si="0"/>
        <v>61</v>
      </c>
      <c r="BK10" s="1">
        <f t="shared" si="0"/>
        <v>62</v>
      </c>
      <c r="BL10" s="1">
        <f t="shared" si="0"/>
        <v>63</v>
      </c>
      <c r="BM10" s="1">
        <f t="shared" si="0"/>
        <v>64</v>
      </c>
      <c r="BN10" s="1">
        <f t="shared" si="0"/>
        <v>65</v>
      </c>
      <c r="BO10" s="1">
        <f t="shared" si="0"/>
        <v>66</v>
      </c>
      <c r="BP10" s="1">
        <f t="shared" ref="BP10:DQ10" si="1">BO10+1</f>
        <v>67</v>
      </c>
      <c r="BQ10" s="1">
        <f t="shared" si="1"/>
        <v>68</v>
      </c>
      <c r="BR10" s="1">
        <f t="shared" si="1"/>
        <v>69</v>
      </c>
      <c r="BS10" s="1">
        <f t="shared" si="1"/>
        <v>70</v>
      </c>
      <c r="BT10" s="1">
        <f t="shared" si="1"/>
        <v>71</v>
      </c>
      <c r="BU10" s="1">
        <f t="shared" si="1"/>
        <v>72</v>
      </c>
      <c r="BV10" s="1">
        <f t="shared" si="1"/>
        <v>73</v>
      </c>
      <c r="BW10" s="1">
        <f t="shared" si="1"/>
        <v>74</v>
      </c>
      <c r="BX10" s="1">
        <f t="shared" si="1"/>
        <v>75</v>
      </c>
      <c r="BY10" s="1">
        <f t="shared" si="1"/>
        <v>76</v>
      </c>
      <c r="BZ10" s="1">
        <f t="shared" si="1"/>
        <v>77</v>
      </c>
      <c r="CA10" s="1">
        <f t="shared" si="1"/>
        <v>78</v>
      </c>
      <c r="CB10" s="1">
        <f t="shared" si="1"/>
        <v>79</v>
      </c>
      <c r="CC10" s="1">
        <f t="shared" si="1"/>
        <v>80</v>
      </c>
      <c r="CD10" s="1">
        <f t="shared" si="1"/>
        <v>81</v>
      </c>
      <c r="CE10" s="1">
        <f t="shared" si="1"/>
        <v>82</v>
      </c>
      <c r="CF10" s="1">
        <f t="shared" si="1"/>
        <v>83</v>
      </c>
      <c r="CG10" s="1">
        <f t="shared" si="1"/>
        <v>84</v>
      </c>
      <c r="CH10" s="1">
        <f t="shared" si="1"/>
        <v>85</v>
      </c>
      <c r="CI10" s="1">
        <f t="shared" si="1"/>
        <v>86</v>
      </c>
      <c r="CJ10" s="1">
        <f t="shared" si="1"/>
        <v>87</v>
      </c>
      <c r="CK10" s="1">
        <f t="shared" si="1"/>
        <v>88</v>
      </c>
      <c r="CL10" s="1">
        <f t="shared" si="1"/>
        <v>89</v>
      </c>
      <c r="CM10" s="1">
        <f t="shared" si="1"/>
        <v>90</v>
      </c>
      <c r="CN10" s="1">
        <f t="shared" si="1"/>
        <v>91</v>
      </c>
      <c r="CO10" s="1">
        <f t="shared" si="1"/>
        <v>92</v>
      </c>
      <c r="CP10" s="1">
        <f t="shared" si="1"/>
        <v>93</v>
      </c>
      <c r="CQ10" s="1">
        <f t="shared" si="1"/>
        <v>94</v>
      </c>
      <c r="CR10" s="1">
        <f t="shared" si="1"/>
        <v>95</v>
      </c>
      <c r="CS10" s="1">
        <f t="shared" si="1"/>
        <v>96</v>
      </c>
      <c r="CT10" s="1">
        <f t="shared" si="1"/>
        <v>97</v>
      </c>
      <c r="CU10" s="1">
        <f t="shared" si="1"/>
        <v>98</v>
      </c>
      <c r="CV10" s="1">
        <f t="shared" si="1"/>
        <v>99</v>
      </c>
      <c r="CW10" s="1">
        <f t="shared" si="1"/>
        <v>100</v>
      </c>
      <c r="CX10" s="1">
        <f t="shared" si="1"/>
        <v>101</v>
      </c>
      <c r="CY10" s="1">
        <f t="shared" si="1"/>
        <v>102</v>
      </c>
      <c r="CZ10" s="1">
        <f t="shared" si="1"/>
        <v>103</v>
      </c>
      <c r="DA10" s="1">
        <f t="shared" si="1"/>
        <v>104</v>
      </c>
      <c r="DB10" s="1">
        <f t="shared" si="1"/>
        <v>105</v>
      </c>
      <c r="DC10" s="1">
        <f t="shared" si="1"/>
        <v>106</v>
      </c>
      <c r="DD10" s="1">
        <f t="shared" si="1"/>
        <v>107</v>
      </c>
      <c r="DE10" s="1">
        <f t="shared" si="1"/>
        <v>108</v>
      </c>
      <c r="DF10" s="1">
        <f t="shared" si="1"/>
        <v>109</v>
      </c>
      <c r="DG10" s="1">
        <f t="shared" si="1"/>
        <v>110</v>
      </c>
      <c r="DH10" s="1">
        <f t="shared" si="1"/>
        <v>111</v>
      </c>
      <c r="DI10" s="1">
        <f t="shared" si="1"/>
        <v>112</v>
      </c>
      <c r="DJ10" s="1">
        <f t="shared" si="1"/>
        <v>113</v>
      </c>
      <c r="DK10" s="1">
        <f t="shared" si="1"/>
        <v>114</v>
      </c>
      <c r="DL10" s="1">
        <f t="shared" si="1"/>
        <v>115</v>
      </c>
      <c r="DM10" s="1">
        <f t="shared" si="1"/>
        <v>116</v>
      </c>
      <c r="DN10" s="1">
        <f t="shared" si="1"/>
        <v>117</v>
      </c>
      <c r="DO10" s="1">
        <f t="shared" si="1"/>
        <v>118</v>
      </c>
      <c r="DP10" s="1">
        <f t="shared" si="1"/>
        <v>119</v>
      </c>
      <c r="DQ10" s="1">
        <f t="shared" si="1"/>
        <v>120</v>
      </c>
    </row>
    <row r="11" spans="1:121" x14ac:dyDescent="0.25">
      <c r="A11" t="s">
        <v>21</v>
      </c>
      <c r="B11" s="8">
        <f>Initial_Loan_Value</f>
        <v>500000</v>
      </c>
      <c r="C11" s="8">
        <f>B14</f>
        <v>498076.72059825028</v>
      </c>
      <c r="D11" s="8">
        <f t="shared" ref="D11:BO11" si="2">C14</f>
        <v>496130.91013809538</v>
      </c>
      <c r="E11" s="8">
        <f t="shared" si="2"/>
        <v>494162.30467005796</v>
      </c>
      <c r="F11" s="8">
        <f t="shared" si="2"/>
        <v>492170.63715251454</v>
      </c>
      <c r="G11" s="8">
        <f t="shared" si="2"/>
        <v>490155.63741547114</v>
      </c>
      <c r="H11" s="8">
        <f t="shared" si="2"/>
        <v>488117.03212391475</v>
      </c>
      <c r="I11" s="8">
        <f t="shared" si="2"/>
        <v>486054.54474073538</v>
      </c>
      <c r="J11" s="8">
        <f t="shared" si="2"/>
        <v>483967.89548921381</v>
      </c>
      <c r="K11" s="8">
        <f t="shared" si="2"/>
        <v>481856.80131506978</v>
      </c>
      <c r="L11" s="8">
        <f t="shared" si="2"/>
        <v>479720.97584806569</v>
      </c>
      <c r="M11" s="8">
        <f t="shared" si="2"/>
        <v>477560.12936316035</v>
      </c>
      <c r="N11" s="8">
        <f t="shared" si="2"/>
        <v>475373.96874120779</v>
      </c>
      <c r="O11" s="8">
        <f t="shared" si="2"/>
        <v>473162.19742919557</v>
      </c>
      <c r="P11" s="8">
        <f t="shared" si="2"/>
        <v>470924.51540001744</v>
      </c>
      <c r="Q11" s="8">
        <f t="shared" si="2"/>
        <v>468660.61911177443</v>
      </c>
      <c r="R11" s="8">
        <f t="shared" si="2"/>
        <v>466370.20146659948</v>
      </c>
      <c r="S11" s="8">
        <f t="shared" si="2"/>
        <v>464052.95176899957</v>
      </c>
      <c r="T11" s="8">
        <f t="shared" si="2"/>
        <v>461708.55568370968</v>
      </c>
      <c r="U11" s="8">
        <f t="shared" si="2"/>
        <v>459336.6951930534</v>
      </c>
      <c r="V11" s="8">
        <f t="shared" si="2"/>
        <v>456937.04855380359</v>
      </c>
      <c r="W11" s="8">
        <f t="shared" si="2"/>
        <v>454509.290253538</v>
      </c>
      <c r="X11" s="8">
        <f t="shared" si="2"/>
        <v>452053.09096648329</v>
      </c>
      <c r="Y11" s="8">
        <f t="shared" si="2"/>
        <v>449568.11750884214</v>
      </c>
      <c r="Z11" s="8">
        <f t="shared" si="2"/>
        <v>447054.03279359668</v>
      </c>
      <c r="AA11" s="8">
        <f t="shared" si="2"/>
        <v>444510.49578478263</v>
      </c>
      <c r="AB11" s="8">
        <f t="shared" si="2"/>
        <v>441937.16145122779</v>
      </c>
      <c r="AC11" s="8">
        <f t="shared" si="2"/>
        <v>439333.68071974831</v>
      </c>
      <c r="AD11" s="8">
        <f t="shared" si="2"/>
        <v>436699.7004277971</v>
      </c>
      <c r="AE11" s="8">
        <f t="shared" si="2"/>
        <v>434034.86327555717</v>
      </c>
      <c r="AF11" s="8">
        <f t="shared" si="2"/>
        <v>431338.80777747382</v>
      </c>
      <c r="AG11" s="8">
        <f t="shared" si="2"/>
        <v>428611.16821321909</v>
      </c>
      <c r="AH11" s="8">
        <f t="shared" si="2"/>
        <v>425851.57457808184</v>
      </c>
      <c r="AI11" s="8">
        <f t="shared" si="2"/>
        <v>423059.65253277641</v>
      </c>
      <c r="AJ11" s="8">
        <f t="shared" si="2"/>
        <v>420235.0233526635</v>
      </c>
      <c r="AK11" s="8">
        <f t="shared" si="2"/>
        <v>417377.30387637619</v>
      </c>
      <c r="AL11" s="8">
        <f t="shared" si="2"/>
        <v>414486.10645384388</v>
      </c>
      <c r="AM11" s="8">
        <f t="shared" si="2"/>
        <v>411561.03889370774</v>
      </c>
      <c r="AN11" s="8">
        <f t="shared" si="2"/>
        <v>408601.70441011962</v>
      </c>
      <c r="AO11" s="8">
        <f t="shared" si="2"/>
        <v>405607.70156891824</v>
      </c>
      <c r="AP11" s="8">
        <f t="shared" si="2"/>
        <v>402578.62423317437</v>
      </c>
      <c r="AQ11" s="8">
        <f t="shared" si="2"/>
        <v>399514.06150809844</v>
      </c>
      <c r="AR11" s="8">
        <f t="shared" si="2"/>
        <v>396413.59768530255</v>
      </c>
      <c r="AS11" s="8">
        <f t="shared" si="2"/>
        <v>393276.8121864096</v>
      </c>
      <c r="AT11" s="8">
        <f t="shared" si="2"/>
        <v>390103.27950600174</v>
      </c>
      <c r="AU11" s="8">
        <f t="shared" si="2"/>
        <v>386892.56915390043</v>
      </c>
      <c r="AV11" s="8">
        <f t="shared" si="2"/>
        <v>383644.24559677055</v>
      </c>
      <c r="AW11" s="8">
        <f t="shared" si="2"/>
        <v>380357.86819904012</v>
      </c>
      <c r="AX11" s="8">
        <f t="shared" si="2"/>
        <v>377032.991163128</v>
      </c>
      <c r="AY11" s="8">
        <f t="shared" si="2"/>
        <v>373669.16346897144</v>
      </c>
      <c r="AZ11" s="8">
        <f t="shared" si="2"/>
        <v>370265.92881284514</v>
      </c>
      <c r="BA11" s="8">
        <f t="shared" si="2"/>
        <v>366822.82554546354</v>
      </c>
      <c r="BB11" s="8">
        <f t="shared" si="2"/>
        <v>363339.38660935807</v>
      </c>
      <c r="BC11" s="8">
        <f t="shared" si="2"/>
        <v>359815.13947552076</v>
      </c>
      <c r="BD11" s="8">
        <f t="shared" si="2"/>
        <v>356249.60607930552</v>
      </c>
      <c r="BE11" s="8">
        <f t="shared" si="2"/>
        <v>352642.30275557865</v>
      </c>
      <c r="BF11" s="8">
        <f t="shared" si="2"/>
        <v>348992.74017310963</v>
      </c>
      <c r="BG11" s="8">
        <f t="shared" si="2"/>
        <v>345300.42326819315</v>
      </c>
      <c r="BH11" s="8">
        <f t="shared" si="2"/>
        <v>341564.85117749381</v>
      </c>
      <c r="BI11" s="8">
        <f t="shared" si="2"/>
        <v>337785.51717010379</v>
      </c>
      <c r="BJ11" s="8">
        <f t="shared" si="2"/>
        <v>333961.90857880481</v>
      </c>
      <c r="BK11" s="8">
        <f t="shared" si="2"/>
        <v>330093.50673052476</v>
      </c>
      <c r="BL11" s="8">
        <f t="shared" si="2"/>
        <v>326179.78687597951</v>
      </c>
      <c r="BM11" s="8">
        <f t="shared" si="2"/>
        <v>322220.21811849065</v>
      </c>
      <c r="BN11" s="8">
        <f t="shared" si="2"/>
        <v>318214.26334196934</v>
      </c>
      <c r="BO11" s="8">
        <f t="shared" si="2"/>
        <v>314161.37913805642</v>
      </c>
      <c r="BP11" s="8">
        <f t="shared" ref="BP11:DQ11" si="3">BO14</f>
        <v>310061.01573240885</v>
      </c>
      <c r="BQ11" s="8">
        <f t="shared" si="3"/>
        <v>305912.61691012292</v>
      </c>
      <c r="BR11" s="8">
        <f t="shared" si="3"/>
        <v>301715.61994028353</v>
      </c>
      <c r="BS11" s="8">
        <f t="shared" si="3"/>
        <v>297469.45549962961</v>
      </c>
      <c r="BT11" s="8">
        <f t="shared" si="3"/>
        <v>293173.54759532533</v>
      </c>
      <c r="BU11" s="8">
        <f t="shared" si="3"/>
        <v>288827.31348682684</v>
      </c>
      <c r="BV11" s="8">
        <f t="shared" si="3"/>
        <v>284430.16360683303</v>
      </c>
      <c r="BW11" s="8">
        <f t="shared" si="3"/>
        <v>279981.50148131093</v>
      </c>
      <c r="BX11" s="8">
        <f t="shared" si="3"/>
        <v>275480.72364858387</v>
      </c>
      <c r="BY11" s="8">
        <f t="shared" si="3"/>
        <v>270927.21957747167</v>
      </c>
      <c r="BZ11" s="8">
        <f t="shared" si="3"/>
        <v>266320.37158447219</v>
      </c>
      <c r="CA11" s="8">
        <f t="shared" si="3"/>
        <v>261659.5547499723</v>
      </c>
      <c r="CB11" s="8">
        <f t="shared" si="3"/>
        <v>256944.13683347765</v>
      </c>
      <c r="CC11" s="8">
        <f t="shared" si="3"/>
        <v>252173.47818784884</v>
      </c>
      <c r="CD11" s="8">
        <f t="shared" si="3"/>
        <v>247346.93167253351</v>
      </c>
      <c r="CE11" s="8">
        <f t="shared" si="3"/>
        <v>242463.84256578147</v>
      </c>
      <c r="CF11" s="8">
        <f t="shared" si="3"/>
        <v>237523.54847583157</v>
      </c>
      <c r="CG11" s="8">
        <f t="shared" si="3"/>
        <v>232525.37925105827</v>
      </c>
      <c r="CH11" s="8">
        <f t="shared" si="3"/>
        <v>227468.65688906537</v>
      </c>
      <c r="CI11" s="8">
        <f t="shared" si="3"/>
        <v>222352.69544471498</v>
      </c>
      <c r="CJ11" s="8">
        <f t="shared" si="3"/>
        <v>217176.80093707883</v>
      </c>
      <c r="CK11" s="8">
        <f t="shared" si="3"/>
        <v>211940.27125529983</v>
      </c>
      <c r="CL11" s="8">
        <f t="shared" si="3"/>
        <v>206642.39606335043</v>
      </c>
      <c r="CM11" s="8">
        <f t="shared" si="3"/>
        <v>201282.45670367559</v>
      </c>
      <c r="CN11" s="8">
        <f t="shared" si="3"/>
        <v>195859.72609970669</v>
      </c>
      <c r="CO11" s="8">
        <f t="shared" si="3"/>
        <v>190373.46865723355</v>
      </c>
      <c r="CP11" s="8">
        <f t="shared" si="3"/>
        <v>184822.94016462093</v>
      </c>
      <c r="CQ11" s="8">
        <f t="shared" si="3"/>
        <v>179207.38769185607</v>
      </c>
      <c r="CR11" s="8">
        <f t="shared" si="3"/>
        <v>173526.0494884137</v>
      </c>
      <c r="CS11" s="8">
        <f t="shared" si="3"/>
        <v>167778.1548799244</v>
      </c>
      <c r="CT11" s="8">
        <f t="shared" si="3"/>
        <v>161962.92416363259</v>
      </c>
      <c r="CU11" s="8">
        <f t="shared" si="3"/>
        <v>156079.56850262961</v>
      </c>
      <c r="CV11" s="8">
        <f t="shared" si="3"/>
        <v>150127.28981884805</v>
      </c>
      <c r="CW11" s="8">
        <f t="shared" si="3"/>
        <v>144105.28068480216</v>
      </c>
      <c r="CX11" s="8">
        <f t="shared" si="3"/>
        <v>138012.72421406035</v>
      </c>
      <c r="CY11" s="8">
        <f t="shared" si="3"/>
        <v>131848.79395043428</v>
      </c>
      <c r="CZ11" s="8">
        <f t="shared" si="3"/>
        <v>125612.65375587007</v>
      </c>
      <c r="DA11" s="8">
        <f t="shared" si="3"/>
        <v>119303.45769702597</v>
      </c>
      <c r="DB11" s="8">
        <f t="shared" si="3"/>
        <v>112920.34993052144</v>
      </c>
      <c r="DC11" s="8">
        <f t="shared" si="3"/>
        <v>106462.46458684183</v>
      </c>
      <c r="DD11" s="8">
        <f t="shared" si="3"/>
        <v>99928.925652883088</v>
      </c>
      <c r="DE11" s="8">
        <f t="shared" si="3"/>
        <v>93318.846853120383</v>
      </c>
      <c r="DF11" s="8">
        <f t="shared" si="3"/>
        <v>86631.33152938477</v>
      </c>
      <c r="DG11" s="8">
        <f t="shared" si="3"/>
        <v>79865.472519231349</v>
      </c>
      <c r="DH11" s="8">
        <f t="shared" si="3"/>
        <v>73020.35203288254</v>
      </c>
      <c r="DI11" s="8">
        <f t="shared" si="3"/>
        <v>66095.04152872978</v>
      </c>
      <c r="DJ11" s="8">
        <f t="shared" si="3"/>
        <v>59088.601587376681</v>
      </c>
      <c r="DK11" s="8">
        <f t="shared" si="3"/>
        <v>52000.08178420669</v>
      </c>
      <c r="DL11" s="8">
        <f t="shared" si="3"/>
        <v>44828.52056045783</v>
      </c>
      <c r="DM11" s="8">
        <f t="shared" si="3"/>
        <v>37572.945092787108</v>
      </c>
      <c r="DN11" s="8">
        <f t="shared" si="3"/>
        <v>30232.371161306895</v>
      </c>
      <c r="DO11" s="8">
        <f t="shared" si="3"/>
        <v>22805.803016075351</v>
      </c>
      <c r="DP11" s="8">
        <f t="shared" si="3"/>
        <v>15292.23324202279</v>
      </c>
      <c r="DQ11" s="8">
        <f t="shared" si="3"/>
        <v>7690.6426222956807</v>
      </c>
    </row>
    <row r="12" spans="1:121" x14ac:dyDescent="0.25">
      <c r="A12" t="s">
        <v>22</v>
      </c>
      <c r="B12" s="8">
        <f t="shared" ref="B12:AG12" si="4">B11*Interest_Rate__Monthly</f>
        <v>5857.45845992669</v>
      </c>
      <c r="C12" s="8">
        <f t="shared" si="4"/>
        <v>5834.9274015215269</v>
      </c>
      <c r="D12" s="8">
        <f t="shared" si="4"/>
        <v>5812.1323936390299</v>
      </c>
      <c r="E12" s="8">
        <f t="shared" si="4"/>
        <v>5789.0703441330024</v>
      </c>
      <c r="F12" s="8">
        <f t="shared" si="4"/>
        <v>5765.7381246330106</v>
      </c>
      <c r="G12" s="8">
        <f t="shared" si="4"/>
        <v>5742.1325701200212</v>
      </c>
      <c r="H12" s="8">
        <f t="shared" si="4"/>
        <v>5718.2504784970643</v>
      </c>
      <c r="I12" s="8">
        <f t="shared" si="4"/>
        <v>5694.0886101548722</v>
      </c>
      <c r="J12" s="8">
        <f t="shared" si="4"/>
        <v>5669.6436875324234</v>
      </c>
      <c r="K12" s="8">
        <f t="shared" si="4"/>
        <v>5644.9123946723394</v>
      </c>
      <c r="L12" s="8">
        <f t="shared" si="4"/>
        <v>5619.8913767710792</v>
      </c>
      <c r="M12" s="8">
        <f t="shared" si="4"/>
        <v>5594.5772397238561</v>
      </c>
      <c r="N12" s="8">
        <f t="shared" si="4"/>
        <v>5568.9665496642265</v>
      </c>
      <c r="O12" s="8">
        <f t="shared" si="4"/>
        <v>5543.0558324982885</v>
      </c>
      <c r="P12" s="8">
        <f t="shared" si="4"/>
        <v>5516.8415734334176</v>
      </c>
      <c r="Q12" s="8">
        <f t="shared" si="4"/>
        <v>5490.3202165014864</v>
      </c>
      <c r="R12" s="8">
        <f t="shared" si="4"/>
        <v>5463.4881640764961</v>
      </c>
      <c r="S12" s="8">
        <f t="shared" si="4"/>
        <v>5436.3417763865573</v>
      </c>
      <c r="T12" s="8">
        <f t="shared" si="4"/>
        <v>5408.8773710201567</v>
      </c>
      <c r="U12" s="8">
        <f t="shared" si="4"/>
        <v>5381.0912224266358</v>
      </c>
      <c r="V12" s="8">
        <f t="shared" si="4"/>
        <v>5352.9795614108189</v>
      </c>
      <c r="W12" s="8">
        <f t="shared" si="4"/>
        <v>5324.5385746217235</v>
      </c>
      <c r="X12" s="8">
        <f t="shared" si="4"/>
        <v>5295.7644040352743</v>
      </c>
      <c r="Y12" s="8">
        <f t="shared" si="4"/>
        <v>5266.6531464309674</v>
      </c>
      <c r="Z12" s="8">
        <f t="shared" si="4"/>
        <v>5237.2008528623937</v>
      </c>
      <c r="AA12" s="8">
        <f t="shared" si="4"/>
        <v>5207.4035281215647</v>
      </c>
      <c r="AB12" s="8">
        <f t="shared" si="4"/>
        <v>5177.2571301969629</v>
      </c>
      <c r="AC12" s="8">
        <f t="shared" si="4"/>
        <v>5146.7575697252423</v>
      </c>
      <c r="AD12" s="8">
        <f t="shared" si="4"/>
        <v>5115.9007094365024</v>
      </c>
      <c r="AE12" s="8">
        <f t="shared" si="4"/>
        <v>5084.6823635930732</v>
      </c>
      <c r="AF12" s="8">
        <f t="shared" si="4"/>
        <v>5053.0982974217122</v>
      </c>
      <c r="AG12" s="8">
        <f t="shared" si="4"/>
        <v>5021.1442265391634</v>
      </c>
      <c r="AH12" s="8">
        <f t="shared" ref="AH12:BM12" si="5">AH11*Interest_Rate__Monthly</f>
        <v>4988.8158163709741</v>
      </c>
      <c r="AI12" s="8">
        <f t="shared" si="5"/>
        <v>4956.1086815635144</v>
      </c>
      <c r="AJ12" s="8">
        <f t="shared" si="5"/>
        <v>4923.0183853890976</v>
      </c>
      <c r="AK12" s="8">
        <f t="shared" si="5"/>
        <v>4889.5404391441452</v>
      </c>
      <c r="AL12" s="8">
        <f t="shared" si="5"/>
        <v>4855.6703015402845</v>
      </c>
      <c r="AM12" s="8">
        <f t="shared" si="5"/>
        <v>4821.4033780883319</v>
      </c>
      <c r="AN12" s="8">
        <f t="shared" si="5"/>
        <v>4786.7350204750401</v>
      </c>
      <c r="AO12" s="8">
        <f t="shared" si="5"/>
        <v>4751.6605259325606</v>
      </c>
      <c r="AP12" s="8">
        <f t="shared" si="5"/>
        <v>4716.1751366005101</v>
      </c>
      <c r="AQ12" s="8">
        <f t="shared" si="5"/>
        <v>4680.274038880566</v>
      </c>
      <c r="AR12" s="8">
        <f t="shared" si="5"/>
        <v>4643.9523627835015</v>
      </c>
      <c r="AS12" s="8">
        <f t="shared" si="5"/>
        <v>4607.2051812685695</v>
      </c>
      <c r="AT12" s="8">
        <f t="shared" si="5"/>
        <v>4570.0275095751522</v>
      </c>
      <c r="AU12" s="8">
        <f t="shared" si="5"/>
        <v>4532.4143045465717</v>
      </c>
      <c r="AV12" s="8">
        <f t="shared" si="5"/>
        <v>4494.3604639459927</v>
      </c>
      <c r="AW12" s="8">
        <f t="shared" si="5"/>
        <v>4455.8608257642973</v>
      </c>
      <c r="AX12" s="8">
        <f t="shared" si="5"/>
        <v>4416.9101675198581</v>
      </c>
      <c r="AY12" s="8">
        <f t="shared" si="5"/>
        <v>4377.5032055501124</v>
      </c>
      <c r="AZ12" s="8">
        <f t="shared" si="5"/>
        <v>4337.6345942948265</v>
      </c>
      <c r="BA12" s="8">
        <f t="shared" si="5"/>
        <v>4297.2989255709754</v>
      </c>
      <c r="BB12" s="8">
        <f t="shared" si="5"/>
        <v>4256.4907278391174</v>
      </c>
      <c r="BC12" s="8">
        <f t="shared" si="5"/>
        <v>4215.2044654611818</v>
      </c>
      <c r="BD12" s="8">
        <f t="shared" si="5"/>
        <v>4173.434537949558</v>
      </c>
      <c r="BE12" s="8">
        <f t="shared" si="5"/>
        <v>4131.1752792073867</v>
      </c>
      <c r="BF12" s="8">
        <f t="shared" si="5"/>
        <v>4088.4209567599564</v>
      </c>
      <c r="BG12" s="8">
        <f t="shared" si="5"/>
        <v>4045.1657709770898</v>
      </c>
      <c r="BH12" s="8">
        <f t="shared" si="5"/>
        <v>4001.4038542864237</v>
      </c>
      <c r="BI12" s="8">
        <f t="shared" si="5"/>
        <v>3957.1292703774734</v>
      </c>
      <c r="BJ12" s="8">
        <f t="shared" si="5"/>
        <v>3912.3360133963679</v>
      </c>
      <c r="BK12" s="8">
        <f t="shared" si="5"/>
        <v>3867.0180071311602</v>
      </c>
      <c r="BL12" s="8">
        <f t="shared" si="5"/>
        <v>3821.1691041875815</v>
      </c>
      <c r="BM12" s="8">
        <f t="shared" si="5"/>
        <v>3774.7830851551525</v>
      </c>
      <c r="BN12" s="8">
        <f t="shared" ref="BN12:CS12" si="6">BN11*Interest_Rate__Monthly</f>
        <v>3727.8536577635159</v>
      </c>
      <c r="BO12" s="8">
        <f t="shared" si="6"/>
        <v>3680.3744560288897</v>
      </c>
      <c r="BP12" s="8">
        <f t="shared" si="6"/>
        <v>3632.3390393905215</v>
      </c>
      <c r="BQ12" s="8">
        <f t="shared" si="6"/>
        <v>3583.7408918370243</v>
      </c>
      <c r="BR12" s="8">
        <f t="shared" si="6"/>
        <v>3534.5734210224796</v>
      </c>
      <c r="BS12" s="8">
        <f t="shared" si="6"/>
        <v>3484.8299573721829</v>
      </c>
      <c r="BT12" s="8">
        <f t="shared" si="6"/>
        <v>3434.5037531779167</v>
      </c>
      <c r="BU12" s="8">
        <f t="shared" si="6"/>
        <v>3383.5879816826241</v>
      </c>
      <c r="BV12" s="8">
        <f t="shared" si="6"/>
        <v>3332.0757361543533</v>
      </c>
      <c r="BW12" s="8">
        <f t="shared" si="6"/>
        <v>3279.9600289493637</v>
      </c>
      <c r="BX12" s="8">
        <f t="shared" si="6"/>
        <v>3227.233790564248</v>
      </c>
      <c r="BY12" s="8">
        <f t="shared" si="6"/>
        <v>3173.8898686769548</v>
      </c>
      <c r="BZ12" s="8">
        <f t="shared" si="6"/>
        <v>3119.9210271765724</v>
      </c>
      <c r="CA12" s="8">
        <f t="shared" si="6"/>
        <v>3065.3199451817522</v>
      </c>
      <c r="CB12" s="8">
        <f t="shared" si="6"/>
        <v>3010.0792160476294</v>
      </c>
      <c r="CC12" s="8">
        <f t="shared" si="6"/>
        <v>2954.1913463611077</v>
      </c>
      <c r="CD12" s="8">
        <f t="shared" si="6"/>
        <v>2897.6487549243807</v>
      </c>
      <c r="CE12" s="8">
        <f t="shared" si="6"/>
        <v>2840.4437717265396</v>
      </c>
      <c r="CF12" s="8">
        <f t="shared" si="6"/>
        <v>2782.5686369031337</v>
      </c>
      <c r="CG12" s="8">
        <f t="shared" si="6"/>
        <v>2724.0154996835468</v>
      </c>
      <c r="CH12" s="8">
        <f t="shared" si="6"/>
        <v>2664.7764173260348</v>
      </c>
      <c r="CI12" s="8">
        <f t="shared" si="6"/>
        <v>2604.8433540402971</v>
      </c>
      <c r="CJ12" s="8">
        <f t="shared" si="6"/>
        <v>2544.2081798974141</v>
      </c>
      <c r="CK12" s="8">
        <f t="shared" si="6"/>
        <v>2482.862669727027</v>
      </c>
      <c r="CL12" s="8">
        <f t="shared" si="6"/>
        <v>2420.7985020015876</v>
      </c>
      <c r="CM12" s="8">
        <f t="shared" si="6"/>
        <v>2358.0072577075443</v>
      </c>
      <c r="CN12" s="8">
        <f t="shared" si="6"/>
        <v>2294.4804192033025</v>
      </c>
      <c r="CO12" s="8">
        <f t="shared" si="6"/>
        <v>2230.2093690638026</v>
      </c>
      <c r="CP12" s="8">
        <f t="shared" si="6"/>
        <v>2165.1853889115664</v>
      </c>
      <c r="CQ12" s="8">
        <f t="shared" si="6"/>
        <v>2099.3996582340492</v>
      </c>
      <c r="CR12" s="8">
        <f t="shared" si="6"/>
        <v>2032.8432531871326</v>
      </c>
      <c r="CS12" s="8">
        <f t="shared" si="6"/>
        <v>1965.5071453846074</v>
      </c>
      <c r="CT12" s="8">
        <f t="shared" ref="CT12:DQ12" si="7">CT11*Interest_Rate__Monthly</f>
        <v>1897.3822006734692</v>
      </c>
      <c r="CU12" s="8">
        <f t="shared" si="7"/>
        <v>1828.4591778948702</v>
      </c>
      <c r="CV12" s="8">
        <f t="shared" si="7"/>
        <v>1758.7287276305551</v>
      </c>
      <c r="CW12" s="8">
        <f t="shared" si="7"/>
        <v>1688.1813909346092</v>
      </c>
      <c r="CX12" s="8">
        <f t="shared" si="7"/>
        <v>1616.8075980503538</v>
      </c>
      <c r="CY12" s="8">
        <f t="shared" si="7"/>
        <v>1544.5976671122046</v>
      </c>
      <c r="CZ12" s="8">
        <f t="shared" si="7"/>
        <v>1471.5418028323265</v>
      </c>
      <c r="DA12" s="8">
        <f t="shared" si="7"/>
        <v>1397.6300951719015</v>
      </c>
      <c r="DB12" s="8">
        <f t="shared" si="7"/>
        <v>1322.8525179968299</v>
      </c>
      <c r="DC12" s="8">
        <f t="shared" si="7"/>
        <v>1247.1989277176847</v>
      </c>
      <c r="DD12" s="8">
        <f t="shared" si="7"/>
        <v>1170.6590619137305</v>
      </c>
      <c r="DE12" s="8">
        <f t="shared" si="7"/>
        <v>1093.2225379408262</v>
      </c>
      <c r="DF12" s="8">
        <f t="shared" si="7"/>
        <v>1014.8788515230173</v>
      </c>
      <c r="DG12" s="8">
        <f t="shared" si="7"/>
        <v>935.61737532762845</v>
      </c>
      <c r="DH12" s="8">
        <f t="shared" si="7"/>
        <v>855.42735752366582</v>
      </c>
      <c r="DI12" s="8">
        <f t="shared" si="7"/>
        <v>774.2979203233283</v>
      </c>
      <c r="DJ12" s="8">
        <f t="shared" si="7"/>
        <v>692.21805850643432</v>
      </c>
      <c r="DK12" s="8">
        <f t="shared" si="7"/>
        <v>609.17663792756252</v>
      </c>
      <c r="DL12" s="8">
        <f t="shared" si="7"/>
        <v>525.16239400570259</v>
      </c>
      <c r="DM12" s="8">
        <f t="shared" si="7"/>
        <v>440.1639301962137</v>
      </c>
      <c r="DN12" s="8">
        <f t="shared" si="7"/>
        <v>354.16971644488154</v>
      </c>
      <c r="DO12" s="8">
        <f t="shared" si="7"/>
        <v>267.16808762386438</v>
      </c>
      <c r="DP12" s="8">
        <f t="shared" si="7"/>
        <v>179.14724194931708</v>
      </c>
      <c r="DQ12" s="8">
        <f t="shared" si="7"/>
        <v>90.095239380477238</v>
      </c>
    </row>
    <row r="13" spans="1:121" x14ac:dyDescent="0.25">
      <c r="A13" t="s">
        <v>12</v>
      </c>
      <c r="B13" s="8">
        <f t="shared" ref="B13:AG13" si="8">Principal_Amount</f>
        <v>7780.7378616764263</v>
      </c>
      <c r="C13" s="8">
        <f t="shared" si="8"/>
        <v>7780.7378616764263</v>
      </c>
      <c r="D13" s="8">
        <f t="shared" si="8"/>
        <v>7780.7378616764263</v>
      </c>
      <c r="E13" s="8">
        <f t="shared" si="8"/>
        <v>7780.7378616764263</v>
      </c>
      <c r="F13" s="8">
        <f t="shared" si="8"/>
        <v>7780.7378616764263</v>
      </c>
      <c r="G13" s="8">
        <f t="shared" si="8"/>
        <v>7780.7378616764263</v>
      </c>
      <c r="H13" s="8">
        <f t="shared" si="8"/>
        <v>7780.7378616764263</v>
      </c>
      <c r="I13" s="8">
        <f t="shared" si="8"/>
        <v>7780.7378616764263</v>
      </c>
      <c r="J13" s="8">
        <f t="shared" si="8"/>
        <v>7780.7378616764263</v>
      </c>
      <c r="K13" s="8">
        <f t="shared" si="8"/>
        <v>7780.7378616764263</v>
      </c>
      <c r="L13" s="8">
        <f t="shared" si="8"/>
        <v>7780.7378616764263</v>
      </c>
      <c r="M13" s="8">
        <f t="shared" si="8"/>
        <v>7780.7378616764263</v>
      </c>
      <c r="N13" s="8">
        <f t="shared" si="8"/>
        <v>7780.7378616764263</v>
      </c>
      <c r="O13" s="8">
        <f t="shared" si="8"/>
        <v>7780.7378616764263</v>
      </c>
      <c r="P13" s="8">
        <f t="shared" si="8"/>
        <v>7780.7378616764263</v>
      </c>
      <c r="Q13" s="8">
        <f t="shared" si="8"/>
        <v>7780.7378616764263</v>
      </c>
      <c r="R13" s="8">
        <f t="shared" si="8"/>
        <v>7780.7378616764263</v>
      </c>
      <c r="S13" s="8">
        <f t="shared" si="8"/>
        <v>7780.7378616764263</v>
      </c>
      <c r="T13" s="8">
        <f t="shared" si="8"/>
        <v>7780.7378616764263</v>
      </c>
      <c r="U13" s="8">
        <f t="shared" si="8"/>
        <v>7780.7378616764263</v>
      </c>
      <c r="V13" s="8">
        <f t="shared" si="8"/>
        <v>7780.7378616764263</v>
      </c>
      <c r="W13" s="8">
        <f t="shared" si="8"/>
        <v>7780.7378616764263</v>
      </c>
      <c r="X13" s="8">
        <f t="shared" si="8"/>
        <v>7780.7378616764263</v>
      </c>
      <c r="Y13" s="8">
        <f t="shared" si="8"/>
        <v>7780.7378616764263</v>
      </c>
      <c r="Z13" s="8">
        <f t="shared" si="8"/>
        <v>7780.7378616764263</v>
      </c>
      <c r="AA13" s="8">
        <f t="shared" si="8"/>
        <v>7780.7378616764263</v>
      </c>
      <c r="AB13" s="8">
        <f t="shared" si="8"/>
        <v>7780.7378616764263</v>
      </c>
      <c r="AC13" s="8">
        <f t="shared" si="8"/>
        <v>7780.7378616764263</v>
      </c>
      <c r="AD13" s="8">
        <f t="shared" si="8"/>
        <v>7780.7378616764263</v>
      </c>
      <c r="AE13" s="8">
        <f t="shared" si="8"/>
        <v>7780.7378616764263</v>
      </c>
      <c r="AF13" s="8">
        <f t="shared" si="8"/>
        <v>7780.7378616764263</v>
      </c>
      <c r="AG13" s="8">
        <f t="shared" si="8"/>
        <v>7780.7378616764263</v>
      </c>
      <c r="AH13" s="8">
        <f t="shared" ref="AH13:BM13" si="9">Principal_Amount</f>
        <v>7780.7378616764263</v>
      </c>
      <c r="AI13" s="8">
        <f t="shared" si="9"/>
        <v>7780.7378616764263</v>
      </c>
      <c r="AJ13" s="8">
        <f t="shared" si="9"/>
        <v>7780.7378616764263</v>
      </c>
      <c r="AK13" s="8">
        <f t="shared" si="9"/>
        <v>7780.7378616764263</v>
      </c>
      <c r="AL13" s="8">
        <f t="shared" si="9"/>
        <v>7780.7378616764263</v>
      </c>
      <c r="AM13" s="8">
        <f t="shared" si="9"/>
        <v>7780.7378616764263</v>
      </c>
      <c r="AN13" s="8">
        <f t="shared" si="9"/>
        <v>7780.7378616764263</v>
      </c>
      <c r="AO13" s="8">
        <f t="shared" si="9"/>
        <v>7780.7378616764263</v>
      </c>
      <c r="AP13" s="8">
        <f t="shared" si="9"/>
        <v>7780.7378616764263</v>
      </c>
      <c r="AQ13" s="8">
        <f t="shared" si="9"/>
        <v>7780.7378616764263</v>
      </c>
      <c r="AR13" s="8">
        <f t="shared" si="9"/>
        <v>7780.7378616764263</v>
      </c>
      <c r="AS13" s="8">
        <f t="shared" si="9"/>
        <v>7780.7378616764263</v>
      </c>
      <c r="AT13" s="8">
        <f t="shared" si="9"/>
        <v>7780.7378616764263</v>
      </c>
      <c r="AU13" s="8">
        <f t="shared" si="9"/>
        <v>7780.7378616764263</v>
      </c>
      <c r="AV13" s="8">
        <f t="shared" si="9"/>
        <v>7780.7378616764263</v>
      </c>
      <c r="AW13" s="8">
        <f t="shared" si="9"/>
        <v>7780.7378616764263</v>
      </c>
      <c r="AX13" s="8">
        <f t="shared" si="9"/>
        <v>7780.7378616764263</v>
      </c>
      <c r="AY13" s="8">
        <f t="shared" si="9"/>
        <v>7780.7378616764263</v>
      </c>
      <c r="AZ13" s="8">
        <f t="shared" si="9"/>
        <v>7780.7378616764263</v>
      </c>
      <c r="BA13" s="8">
        <f t="shared" si="9"/>
        <v>7780.7378616764263</v>
      </c>
      <c r="BB13" s="8">
        <f t="shared" si="9"/>
        <v>7780.7378616764263</v>
      </c>
      <c r="BC13" s="8">
        <f t="shared" si="9"/>
        <v>7780.7378616764263</v>
      </c>
      <c r="BD13" s="8">
        <f t="shared" si="9"/>
        <v>7780.7378616764263</v>
      </c>
      <c r="BE13" s="8">
        <f t="shared" si="9"/>
        <v>7780.7378616764263</v>
      </c>
      <c r="BF13" s="8">
        <f t="shared" si="9"/>
        <v>7780.7378616764263</v>
      </c>
      <c r="BG13" s="8">
        <f t="shared" si="9"/>
        <v>7780.7378616764263</v>
      </c>
      <c r="BH13" s="8">
        <f t="shared" si="9"/>
        <v>7780.7378616764263</v>
      </c>
      <c r="BI13" s="8">
        <f t="shared" si="9"/>
        <v>7780.7378616764263</v>
      </c>
      <c r="BJ13" s="8">
        <f t="shared" si="9"/>
        <v>7780.7378616764263</v>
      </c>
      <c r="BK13" s="8">
        <f t="shared" si="9"/>
        <v>7780.7378616764263</v>
      </c>
      <c r="BL13" s="8">
        <f t="shared" si="9"/>
        <v>7780.7378616764263</v>
      </c>
      <c r="BM13" s="8">
        <f t="shared" si="9"/>
        <v>7780.7378616764263</v>
      </c>
      <c r="BN13" s="8">
        <f t="shared" ref="BN13:CS13" si="10">Principal_Amount</f>
        <v>7780.7378616764263</v>
      </c>
      <c r="BO13" s="8">
        <f t="shared" si="10"/>
        <v>7780.7378616764263</v>
      </c>
      <c r="BP13" s="8">
        <f t="shared" si="10"/>
        <v>7780.7378616764263</v>
      </c>
      <c r="BQ13" s="8">
        <f t="shared" si="10"/>
        <v>7780.7378616764263</v>
      </c>
      <c r="BR13" s="8">
        <f t="shared" si="10"/>
        <v>7780.7378616764263</v>
      </c>
      <c r="BS13" s="8">
        <f t="shared" si="10"/>
        <v>7780.7378616764263</v>
      </c>
      <c r="BT13" s="8">
        <f t="shared" si="10"/>
        <v>7780.7378616764263</v>
      </c>
      <c r="BU13" s="8">
        <f t="shared" si="10"/>
        <v>7780.7378616764263</v>
      </c>
      <c r="BV13" s="8">
        <f t="shared" si="10"/>
        <v>7780.7378616764263</v>
      </c>
      <c r="BW13" s="8">
        <f t="shared" si="10"/>
        <v>7780.7378616764263</v>
      </c>
      <c r="BX13" s="8">
        <f t="shared" si="10"/>
        <v>7780.7378616764263</v>
      </c>
      <c r="BY13" s="8">
        <f t="shared" si="10"/>
        <v>7780.7378616764263</v>
      </c>
      <c r="BZ13" s="8">
        <f t="shared" si="10"/>
        <v>7780.7378616764263</v>
      </c>
      <c r="CA13" s="8">
        <f t="shared" si="10"/>
        <v>7780.7378616764263</v>
      </c>
      <c r="CB13" s="8">
        <f t="shared" si="10"/>
        <v>7780.7378616764263</v>
      </c>
      <c r="CC13" s="8">
        <f t="shared" si="10"/>
        <v>7780.7378616764263</v>
      </c>
      <c r="CD13" s="8">
        <f t="shared" si="10"/>
        <v>7780.7378616764263</v>
      </c>
      <c r="CE13" s="8">
        <f t="shared" si="10"/>
        <v>7780.7378616764263</v>
      </c>
      <c r="CF13" s="8">
        <f t="shared" si="10"/>
        <v>7780.7378616764263</v>
      </c>
      <c r="CG13" s="8">
        <f t="shared" si="10"/>
        <v>7780.7378616764263</v>
      </c>
      <c r="CH13" s="8">
        <f t="shared" si="10"/>
        <v>7780.7378616764263</v>
      </c>
      <c r="CI13" s="8">
        <f t="shared" si="10"/>
        <v>7780.7378616764263</v>
      </c>
      <c r="CJ13" s="8">
        <f t="shared" si="10"/>
        <v>7780.7378616764263</v>
      </c>
      <c r="CK13" s="8">
        <f t="shared" si="10"/>
        <v>7780.7378616764263</v>
      </c>
      <c r="CL13" s="8">
        <f t="shared" si="10"/>
        <v>7780.7378616764263</v>
      </c>
      <c r="CM13" s="8">
        <f t="shared" si="10"/>
        <v>7780.7378616764263</v>
      </c>
      <c r="CN13" s="8">
        <f t="shared" si="10"/>
        <v>7780.7378616764263</v>
      </c>
      <c r="CO13" s="8">
        <f t="shared" si="10"/>
        <v>7780.7378616764263</v>
      </c>
      <c r="CP13" s="8">
        <f t="shared" si="10"/>
        <v>7780.7378616764263</v>
      </c>
      <c r="CQ13" s="8">
        <f t="shared" si="10"/>
        <v>7780.7378616764263</v>
      </c>
      <c r="CR13" s="8">
        <f t="shared" si="10"/>
        <v>7780.7378616764263</v>
      </c>
      <c r="CS13" s="8">
        <f t="shared" si="10"/>
        <v>7780.7378616764263</v>
      </c>
      <c r="CT13" s="8">
        <f t="shared" ref="CT13:DQ13" si="11">Principal_Amount</f>
        <v>7780.7378616764263</v>
      </c>
      <c r="CU13" s="8">
        <f t="shared" si="11"/>
        <v>7780.7378616764263</v>
      </c>
      <c r="CV13" s="8">
        <f t="shared" si="11"/>
        <v>7780.7378616764263</v>
      </c>
      <c r="CW13" s="8">
        <f t="shared" si="11"/>
        <v>7780.7378616764263</v>
      </c>
      <c r="CX13" s="8">
        <f t="shared" si="11"/>
        <v>7780.7378616764263</v>
      </c>
      <c r="CY13" s="8">
        <f t="shared" si="11"/>
        <v>7780.7378616764263</v>
      </c>
      <c r="CZ13" s="8">
        <f t="shared" si="11"/>
        <v>7780.7378616764263</v>
      </c>
      <c r="DA13" s="8">
        <f t="shared" si="11"/>
        <v>7780.7378616764263</v>
      </c>
      <c r="DB13" s="8">
        <f t="shared" si="11"/>
        <v>7780.7378616764263</v>
      </c>
      <c r="DC13" s="8">
        <f t="shared" si="11"/>
        <v>7780.7378616764263</v>
      </c>
      <c r="DD13" s="8">
        <f t="shared" si="11"/>
        <v>7780.7378616764263</v>
      </c>
      <c r="DE13" s="8">
        <f t="shared" si="11"/>
        <v>7780.7378616764263</v>
      </c>
      <c r="DF13" s="8">
        <f t="shared" si="11"/>
        <v>7780.7378616764263</v>
      </c>
      <c r="DG13" s="8">
        <f t="shared" si="11"/>
        <v>7780.7378616764263</v>
      </c>
      <c r="DH13" s="8">
        <f t="shared" si="11"/>
        <v>7780.7378616764263</v>
      </c>
      <c r="DI13" s="8">
        <f t="shared" si="11"/>
        <v>7780.7378616764263</v>
      </c>
      <c r="DJ13" s="8">
        <f t="shared" si="11"/>
        <v>7780.7378616764263</v>
      </c>
      <c r="DK13" s="8">
        <f t="shared" si="11"/>
        <v>7780.7378616764263</v>
      </c>
      <c r="DL13" s="8">
        <f t="shared" si="11"/>
        <v>7780.7378616764263</v>
      </c>
      <c r="DM13" s="8">
        <f t="shared" si="11"/>
        <v>7780.7378616764263</v>
      </c>
      <c r="DN13" s="8">
        <f t="shared" si="11"/>
        <v>7780.7378616764263</v>
      </c>
      <c r="DO13" s="8">
        <f t="shared" si="11"/>
        <v>7780.7378616764263</v>
      </c>
      <c r="DP13" s="8">
        <f t="shared" si="11"/>
        <v>7780.7378616764263</v>
      </c>
      <c r="DQ13" s="8">
        <f t="shared" si="11"/>
        <v>7780.7378616764263</v>
      </c>
    </row>
    <row r="14" spans="1:121" x14ac:dyDescent="0.25">
      <c r="A14" t="s">
        <v>24</v>
      </c>
      <c r="B14" s="8">
        <f>B11+B12-B13</f>
        <v>498076.72059825028</v>
      </c>
      <c r="C14" s="8">
        <f>C11+C12-C13</f>
        <v>496130.91013809538</v>
      </c>
      <c r="D14" s="8">
        <f t="shared" ref="D14:BO14" si="12">D11+D12-D13</f>
        <v>494162.30467005796</v>
      </c>
      <c r="E14" s="8">
        <f t="shared" si="12"/>
        <v>492170.63715251454</v>
      </c>
      <c r="F14" s="8">
        <f t="shared" si="12"/>
        <v>490155.63741547114</v>
      </c>
      <c r="G14" s="8">
        <f t="shared" si="12"/>
        <v>488117.03212391475</v>
      </c>
      <c r="H14" s="8">
        <f t="shared" si="12"/>
        <v>486054.54474073538</v>
      </c>
      <c r="I14" s="8">
        <f t="shared" si="12"/>
        <v>483967.89548921381</v>
      </c>
      <c r="J14" s="8">
        <f t="shared" si="12"/>
        <v>481856.80131506978</v>
      </c>
      <c r="K14" s="8">
        <f t="shared" si="12"/>
        <v>479720.97584806569</v>
      </c>
      <c r="L14" s="8">
        <f t="shared" si="12"/>
        <v>477560.12936316035</v>
      </c>
      <c r="M14" s="8">
        <f t="shared" si="12"/>
        <v>475373.96874120779</v>
      </c>
      <c r="N14" s="8">
        <f t="shared" si="12"/>
        <v>473162.19742919557</v>
      </c>
      <c r="O14" s="8">
        <f t="shared" si="12"/>
        <v>470924.51540001744</v>
      </c>
      <c r="P14" s="8">
        <f t="shared" si="12"/>
        <v>468660.61911177443</v>
      </c>
      <c r="Q14" s="8">
        <f t="shared" si="12"/>
        <v>466370.20146659948</v>
      </c>
      <c r="R14" s="8">
        <f t="shared" si="12"/>
        <v>464052.95176899957</v>
      </c>
      <c r="S14" s="8">
        <f t="shared" si="12"/>
        <v>461708.55568370968</v>
      </c>
      <c r="T14" s="8">
        <f t="shared" si="12"/>
        <v>459336.6951930534</v>
      </c>
      <c r="U14" s="8">
        <f t="shared" si="12"/>
        <v>456937.04855380359</v>
      </c>
      <c r="V14" s="8">
        <f t="shared" si="12"/>
        <v>454509.290253538</v>
      </c>
      <c r="W14" s="8">
        <f t="shared" si="12"/>
        <v>452053.09096648329</v>
      </c>
      <c r="X14" s="8">
        <f t="shared" si="12"/>
        <v>449568.11750884214</v>
      </c>
      <c r="Y14" s="8">
        <f t="shared" si="12"/>
        <v>447054.03279359668</v>
      </c>
      <c r="Z14" s="8">
        <f t="shared" si="12"/>
        <v>444510.49578478263</v>
      </c>
      <c r="AA14" s="8">
        <f t="shared" si="12"/>
        <v>441937.16145122779</v>
      </c>
      <c r="AB14" s="8">
        <f t="shared" si="12"/>
        <v>439333.68071974831</v>
      </c>
      <c r="AC14" s="8">
        <f t="shared" si="12"/>
        <v>436699.7004277971</v>
      </c>
      <c r="AD14" s="8">
        <f t="shared" si="12"/>
        <v>434034.86327555717</v>
      </c>
      <c r="AE14" s="8">
        <f t="shared" si="12"/>
        <v>431338.80777747382</v>
      </c>
      <c r="AF14" s="8">
        <f t="shared" si="12"/>
        <v>428611.16821321909</v>
      </c>
      <c r="AG14" s="8">
        <f t="shared" si="12"/>
        <v>425851.57457808184</v>
      </c>
      <c r="AH14" s="8">
        <f t="shared" si="12"/>
        <v>423059.65253277641</v>
      </c>
      <c r="AI14" s="8">
        <f t="shared" si="12"/>
        <v>420235.0233526635</v>
      </c>
      <c r="AJ14" s="8">
        <f t="shared" si="12"/>
        <v>417377.30387637619</v>
      </c>
      <c r="AK14" s="8">
        <f t="shared" si="12"/>
        <v>414486.10645384388</v>
      </c>
      <c r="AL14" s="8">
        <f t="shared" si="12"/>
        <v>411561.03889370774</v>
      </c>
      <c r="AM14" s="8">
        <f t="shared" si="12"/>
        <v>408601.70441011962</v>
      </c>
      <c r="AN14" s="8">
        <f t="shared" si="12"/>
        <v>405607.70156891824</v>
      </c>
      <c r="AO14" s="8">
        <f t="shared" si="12"/>
        <v>402578.62423317437</v>
      </c>
      <c r="AP14" s="8">
        <f t="shared" si="12"/>
        <v>399514.06150809844</v>
      </c>
      <c r="AQ14" s="8">
        <f t="shared" si="12"/>
        <v>396413.59768530255</v>
      </c>
      <c r="AR14" s="8">
        <f t="shared" si="12"/>
        <v>393276.8121864096</v>
      </c>
      <c r="AS14" s="8">
        <f t="shared" si="12"/>
        <v>390103.27950600174</v>
      </c>
      <c r="AT14" s="8">
        <f t="shared" si="12"/>
        <v>386892.56915390043</v>
      </c>
      <c r="AU14" s="8">
        <f t="shared" si="12"/>
        <v>383644.24559677055</v>
      </c>
      <c r="AV14" s="8">
        <f t="shared" si="12"/>
        <v>380357.86819904012</v>
      </c>
      <c r="AW14" s="8">
        <f t="shared" si="12"/>
        <v>377032.991163128</v>
      </c>
      <c r="AX14" s="8">
        <f t="shared" si="12"/>
        <v>373669.16346897144</v>
      </c>
      <c r="AY14" s="8">
        <f t="shared" si="12"/>
        <v>370265.92881284514</v>
      </c>
      <c r="AZ14" s="8">
        <f t="shared" si="12"/>
        <v>366822.82554546354</v>
      </c>
      <c r="BA14" s="8">
        <f t="shared" si="12"/>
        <v>363339.38660935807</v>
      </c>
      <c r="BB14" s="8">
        <f t="shared" si="12"/>
        <v>359815.13947552076</v>
      </c>
      <c r="BC14" s="8">
        <f t="shared" si="12"/>
        <v>356249.60607930552</v>
      </c>
      <c r="BD14" s="8">
        <f t="shared" si="12"/>
        <v>352642.30275557865</v>
      </c>
      <c r="BE14" s="8">
        <f t="shared" si="12"/>
        <v>348992.74017310963</v>
      </c>
      <c r="BF14" s="8">
        <f t="shared" si="12"/>
        <v>345300.42326819315</v>
      </c>
      <c r="BG14" s="8">
        <f t="shared" si="12"/>
        <v>341564.85117749381</v>
      </c>
      <c r="BH14" s="8">
        <f t="shared" si="12"/>
        <v>337785.51717010379</v>
      </c>
      <c r="BI14" s="8">
        <f t="shared" si="12"/>
        <v>333961.90857880481</v>
      </c>
      <c r="BJ14" s="8">
        <f t="shared" si="12"/>
        <v>330093.50673052476</v>
      </c>
      <c r="BK14" s="8">
        <f t="shared" si="12"/>
        <v>326179.78687597951</v>
      </c>
      <c r="BL14" s="8">
        <f t="shared" si="12"/>
        <v>322220.21811849065</v>
      </c>
      <c r="BM14" s="8">
        <f t="shared" si="12"/>
        <v>318214.26334196934</v>
      </c>
      <c r="BN14" s="8">
        <f t="shared" si="12"/>
        <v>314161.37913805642</v>
      </c>
      <c r="BO14" s="8">
        <f t="shared" si="12"/>
        <v>310061.01573240885</v>
      </c>
      <c r="BP14" s="8">
        <f t="shared" ref="BP14:DQ14" si="13">BP11+BP12-BP13</f>
        <v>305912.61691012292</v>
      </c>
      <c r="BQ14" s="8">
        <f t="shared" si="13"/>
        <v>301715.61994028353</v>
      </c>
      <c r="BR14" s="8">
        <f t="shared" si="13"/>
        <v>297469.45549962961</v>
      </c>
      <c r="BS14" s="8">
        <f t="shared" si="13"/>
        <v>293173.54759532533</v>
      </c>
      <c r="BT14" s="8">
        <f t="shared" si="13"/>
        <v>288827.31348682684</v>
      </c>
      <c r="BU14" s="8">
        <f t="shared" si="13"/>
        <v>284430.16360683303</v>
      </c>
      <c r="BV14" s="8">
        <f t="shared" si="13"/>
        <v>279981.50148131093</v>
      </c>
      <c r="BW14" s="8">
        <f t="shared" si="13"/>
        <v>275480.72364858387</v>
      </c>
      <c r="BX14" s="8">
        <f t="shared" si="13"/>
        <v>270927.21957747167</v>
      </c>
      <c r="BY14" s="8">
        <f t="shared" si="13"/>
        <v>266320.37158447219</v>
      </c>
      <c r="BZ14" s="8">
        <f t="shared" si="13"/>
        <v>261659.5547499723</v>
      </c>
      <c r="CA14" s="8">
        <f t="shared" si="13"/>
        <v>256944.13683347765</v>
      </c>
      <c r="CB14" s="8">
        <f t="shared" si="13"/>
        <v>252173.47818784884</v>
      </c>
      <c r="CC14" s="8">
        <f t="shared" si="13"/>
        <v>247346.93167253351</v>
      </c>
      <c r="CD14" s="8">
        <f t="shared" si="13"/>
        <v>242463.84256578147</v>
      </c>
      <c r="CE14" s="8">
        <f t="shared" si="13"/>
        <v>237523.54847583157</v>
      </c>
      <c r="CF14" s="8">
        <f t="shared" si="13"/>
        <v>232525.37925105827</v>
      </c>
      <c r="CG14" s="8">
        <f t="shared" si="13"/>
        <v>227468.65688906537</v>
      </c>
      <c r="CH14" s="8">
        <f t="shared" si="13"/>
        <v>222352.69544471498</v>
      </c>
      <c r="CI14" s="8">
        <f t="shared" si="13"/>
        <v>217176.80093707883</v>
      </c>
      <c r="CJ14" s="8">
        <f t="shared" si="13"/>
        <v>211940.27125529983</v>
      </c>
      <c r="CK14" s="8">
        <f t="shared" si="13"/>
        <v>206642.39606335043</v>
      </c>
      <c r="CL14" s="8">
        <f t="shared" si="13"/>
        <v>201282.45670367559</v>
      </c>
      <c r="CM14" s="8">
        <f t="shared" si="13"/>
        <v>195859.72609970669</v>
      </c>
      <c r="CN14" s="8">
        <f t="shared" si="13"/>
        <v>190373.46865723355</v>
      </c>
      <c r="CO14" s="8">
        <f t="shared" si="13"/>
        <v>184822.94016462093</v>
      </c>
      <c r="CP14" s="8">
        <f t="shared" si="13"/>
        <v>179207.38769185607</v>
      </c>
      <c r="CQ14" s="8">
        <f t="shared" si="13"/>
        <v>173526.0494884137</v>
      </c>
      <c r="CR14" s="8">
        <f t="shared" si="13"/>
        <v>167778.1548799244</v>
      </c>
      <c r="CS14" s="8">
        <f t="shared" si="13"/>
        <v>161962.92416363259</v>
      </c>
      <c r="CT14" s="8">
        <f t="shared" si="13"/>
        <v>156079.56850262961</v>
      </c>
      <c r="CU14" s="8">
        <f t="shared" si="13"/>
        <v>150127.28981884805</v>
      </c>
      <c r="CV14" s="8">
        <f t="shared" si="13"/>
        <v>144105.28068480216</v>
      </c>
      <c r="CW14" s="8">
        <f t="shared" si="13"/>
        <v>138012.72421406035</v>
      </c>
      <c r="CX14" s="8">
        <f t="shared" si="13"/>
        <v>131848.79395043428</v>
      </c>
      <c r="CY14" s="8">
        <f t="shared" si="13"/>
        <v>125612.65375587007</v>
      </c>
      <c r="CZ14" s="8">
        <f t="shared" si="13"/>
        <v>119303.45769702597</v>
      </c>
      <c r="DA14" s="8">
        <f t="shared" si="13"/>
        <v>112920.34993052144</v>
      </c>
      <c r="DB14" s="8">
        <f t="shared" si="13"/>
        <v>106462.46458684183</v>
      </c>
      <c r="DC14" s="8">
        <f t="shared" si="13"/>
        <v>99928.925652883088</v>
      </c>
      <c r="DD14" s="8">
        <f t="shared" si="13"/>
        <v>93318.846853120383</v>
      </c>
      <c r="DE14" s="8">
        <f t="shared" si="13"/>
        <v>86631.33152938477</v>
      </c>
      <c r="DF14" s="8">
        <f t="shared" si="13"/>
        <v>79865.472519231349</v>
      </c>
      <c r="DG14" s="8">
        <f t="shared" si="13"/>
        <v>73020.35203288254</v>
      </c>
      <c r="DH14" s="8">
        <f t="shared" si="13"/>
        <v>66095.04152872978</v>
      </c>
      <c r="DI14" s="8">
        <f t="shared" si="13"/>
        <v>59088.601587376681</v>
      </c>
      <c r="DJ14" s="8">
        <f t="shared" si="13"/>
        <v>52000.08178420669</v>
      </c>
      <c r="DK14" s="8">
        <f t="shared" si="13"/>
        <v>44828.52056045783</v>
      </c>
      <c r="DL14" s="8">
        <f t="shared" si="13"/>
        <v>37572.945092787108</v>
      </c>
      <c r="DM14" s="8">
        <f t="shared" si="13"/>
        <v>30232.371161306895</v>
      </c>
      <c r="DN14" s="8">
        <f t="shared" si="13"/>
        <v>22805.803016075351</v>
      </c>
      <c r="DO14" s="8">
        <f t="shared" si="13"/>
        <v>15292.23324202279</v>
      </c>
      <c r="DP14" s="8">
        <f t="shared" si="13"/>
        <v>7690.6426222956807</v>
      </c>
      <c r="DQ14" s="8">
        <f t="shared" si="13"/>
        <v>-2.6830093702301383E-10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Concept</vt:lpstr>
      <vt:lpstr>Example</vt:lpstr>
      <vt:lpstr>Final_Ending_Balance</vt:lpstr>
      <vt:lpstr>Initial_Loan_Value</vt:lpstr>
      <vt:lpstr>Interest_Rate__Monthly</vt:lpstr>
      <vt:lpstr>Interest_Rate__Year</vt:lpstr>
      <vt:lpstr>Period_Number__Months</vt:lpstr>
      <vt:lpstr>Principal_Amount</vt:lpstr>
      <vt:lpstr>Total_Payment__Monthly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Escobar Castillejos</dc:creator>
  <cp:lastModifiedBy>David Escobar Castillejos</cp:lastModifiedBy>
  <dcterms:created xsi:type="dcterms:W3CDTF">2024-01-25T18:56:00Z</dcterms:created>
  <dcterms:modified xsi:type="dcterms:W3CDTF">2024-02-01T18:33:45Z</dcterms:modified>
</cp:coreProperties>
</file>